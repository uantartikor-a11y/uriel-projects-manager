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pro\Desktop\ProjectApp\"/>
    </mc:Choice>
  </mc:AlternateContent>
  <xr:revisionPtr revIDLastSave="0" documentId="13_ncr:1_{04D7A936-8398-4CBE-83A2-BDCF1EDD0EB2}" xr6:coauthVersionLast="47" xr6:coauthVersionMax="47" xr10:uidLastSave="{00000000-0000-0000-0000-000000000000}"/>
  <bookViews>
    <workbookView xWindow="-110" yWindow="-110" windowWidth="19420" windowHeight="11500" tabRatio="574" xr2:uid="{00000000-000D-0000-FFFF-FFFF00000000}"/>
  </bookViews>
  <sheets>
    <sheet name="סיכום קבלת כסף" sheetId="11" r:id="rId1"/>
    <sheet name="KLA מגדל העמק" sheetId="18" r:id="rId2"/>
    <sheet name="ביליארד מודיעין" sheetId="28" r:id="rId3"/>
    <sheet name="ביליארד רעננה" sheetId="16" r:id="rId4"/>
    <sheet name="בנק לאומי קרית מוצקין" sheetId="7" r:id="rId5"/>
    <sheet name="עתידים" sheetId="29" r:id="rId6"/>
    <sheet name="עידן חדש" sheetId="33" r:id="rId7"/>
    <sheet name="צ'רי עפולה" sheetId="10" r:id="rId8"/>
    <sheet name="בנק לאומי ראשון לציון" sheetId="15" r:id="rId9"/>
    <sheet name="בנק לאומי קרית אתא שלב ב" sheetId="12" r:id="rId10"/>
    <sheet name="בנק לאומי קרית אתא" sheetId="8" r:id="rId11"/>
    <sheet name="משפחת דוד" sheetId="20" r:id="rId12"/>
    <sheet name="לוגסי" sheetId="31" r:id="rId13"/>
    <sheet name="יעל אלמוג זכאי" sheetId="2" r:id="rId14"/>
    <sheet name="אודיטוריום בית חולים כרמל" sheetId="32" r:id="rId15"/>
    <sheet name="מתם 6" sheetId="3" r:id="rId16"/>
    <sheet name="בית הלוי" sheetId="4" r:id="rId17"/>
    <sheet name="מנופי אבי" sheetId="5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5" l="1"/>
  <c r="D90" i="33"/>
  <c r="D80" i="33"/>
  <c r="D73" i="33"/>
  <c r="D66" i="33"/>
  <c r="D58" i="33"/>
  <c r="D52" i="33"/>
  <c r="D44" i="33"/>
  <c r="F31" i="33"/>
  <c r="D19" i="33"/>
  <c r="D90" i="32"/>
  <c r="D80" i="32"/>
  <c r="D73" i="32"/>
  <c r="D66" i="32"/>
  <c r="D58" i="32"/>
  <c r="D52" i="32"/>
  <c r="D44" i="32"/>
  <c r="F31" i="32"/>
  <c r="D19" i="32"/>
  <c r="D19" i="11"/>
  <c r="D90" i="31"/>
  <c r="D80" i="31"/>
  <c r="D73" i="31"/>
  <c r="D66" i="31"/>
  <c r="D58" i="31"/>
  <c r="D52" i="31"/>
  <c r="D44" i="31"/>
  <c r="F31" i="31"/>
  <c r="D33" i="31" s="1"/>
  <c r="D18" i="31"/>
  <c r="D98" i="29"/>
  <c r="D88" i="29"/>
  <c r="D81" i="29"/>
  <c r="D61" i="29"/>
  <c r="D55" i="29"/>
  <c r="D47" i="29"/>
  <c r="D21" i="29"/>
  <c r="D22" i="29" s="1"/>
  <c r="D98" i="28"/>
  <c r="D88" i="28"/>
  <c r="D81" i="28"/>
  <c r="D71" i="28"/>
  <c r="D61" i="28"/>
  <c r="D55" i="28"/>
  <c r="D47" i="28"/>
  <c r="D21" i="28"/>
  <c r="D72" i="12"/>
  <c r="D33" i="20"/>
  <c r="D90" i="20"/>
  <c r="D80" i="20"/>
  <c r="D73" i="20"/>
  <c r="D66" i="20"/>
  <c r="D58" i="20"/>
  <c r="D52" i="20"/>
  <c r="D44" i="20"/>
  <c r="F31" i="20"/>
  <c r="D18" i="20"/>
  <c r="D19" i="20" s="1"/>
  <c r="D98" i="18"/>
  <c r="D88" i="18"/>
  <c r="D81" i="18"/>
  <c r="D71" i="18"/>
  <c r="D61" i="18"/>
  <c r="D55" i="18"/>
  <c r="D47" i="18"/>
  <c r="D21" i="18"/>
  <c r="D22" i="18" s="1"/>
  <c r="D71" i="16"/>
  <c r="D98" i="16"/>
  <c r="D88" i="16"/>
  <c r="D81" i="16"/>
  <c r="D61" i="16"/>
  <c r="D55" i="16"/>
  <c r="D47" i="16"/>
  <c r="D103" i="16" s="1"/>
  <c r="D21" i="16"/>
  <c r="D22" i="16" s="1"/>
  <c r="H19" i="11"/>
  <c r="D89" i="15"/>
  <c r="D79" i="15"/>
  <c r="D72" i="15"/>
  <c r="D65" i="15"/>
  <c r="D57" i="15"/>
  <c r="D51" i="15"/>
  <c r="D43" i="15"/>
  <c r="F30" i="15"/>
  <c r="D32" i="15" s="1"/>
  <c r="D17" i="15"/>
  <c r="D18" i="15" s="1"/>
  <c r="D92" i="33" l="1"/>
  <c r="D33" i="33"/>
  <c r="D92" i="32"/>
  <c r="D95" i="32" s="1"/>
  <c r="D96" i="32" s="1"/>
  <c r="D33" i="32"/>
  <c r="D92" i="31"/>
  <c r="D95" i="31" s="1"/>
  <c r="D96" i="31" s="1"/>
  <c r="D19" i="31"/>
  <c r="E21" i="11"/>
  <c r="D100" i="29"/>
  <c r="D103" i="29"/>
  <c r="D104" i="29" s="1"/>
  <c r="D100" i="28"/>
  <c r="D103" i="28"/>
  <c r="D104" i="28" s="1"/>
  <c r="D22" i="28"/>
  <c r="D92" i="20"/>
  <c r="D95" i="20" s="1"/>
  <c r="D96" i="20" s="1"/>
  <c r="D100" i="18"/>
  <c r="D103" i="18"/>
  <c r="D104" i="18" s="1"/>
  <c r="D100" i="16"/>
  <c r="D104" i="16"/>
  <c r="D91" i="15"/>
  <c r="D94" i="15" s="1"/>
  <c r="D95" i="15" s="1"/>
  <c r="D95" i="33" l="1"/>
  <c r="D96" i="33" s="1"/>
  <c r="D21" i="5"/>
  <c r="D22" i="5" s="1"/>
  <c r="D89" i="12"/>
  <c r="D79" i="12"/>
  <c r="D65" i="12"/>
  <c r="D57" i="12"/>
  <c r="D51" i="12"/>
  <c r="D43" i="12"/>
  <c r="F30" i="12"/>
  <c r="D17" i="12"/>
  <c r="D18" i="12" s="1"/>
  <c r="D89" i="10"/>
  <c r="D79" i="10"/>
  <c r="D72" i="10"/>
  <c r="D65" i="10"/>
  <c r="D57" i="10"/>
  <c r="D51" i="10"/>
  <c r="D91" i="10" s="1"/>
  <c r="D43" i="10"/>
  <c r="F30" i="10"/>
  <c r="D32" i="10" s="1"/>
  <c r="D17" i="10"/>
  <c r="D89" i="8"/>
  <c r="D79" i="8"/>
  <c r="D72" i="8"/>
  <c r="D65" i="8"/>
  <c r="D57" i="8"/>
  <c r="D51" i="8"/>
  <c r="D43" i="8"/>
  <c r="F30" i="8"/>
  <c r="D32" i="8" s="1"/>
  <c r="D17" i="8"/>
  <c r="D18" i="8" s="1"/>
  <c r="D89" i="7"/>
  <c r="D79" i="7"/>
  <c r="D72" i="7"/>
  <c r="D65" i="7"/>
  <c r="D57" i="7"/>
  <c r="D51" i="7"/>
  <c r="D43" i="7"/>
  <c r="F30" i="7"/>
  <c r="D32" i="7" s="1"/>
  <c r="D17" i="7"/>
  <c r="D91" i="12" l="1"/>
  <c r="D94" i="12" s="1"/>
  <c r="D95" i="12" s="1"/>
  <c r="D94" i="10"/>
  <c r="D95" i="10" s="1"/>
  <c r="D18" i="10"/>
  <c r="D91" i="7"/>
  <c r="D91" i="8"/>
  <c r="D94" i="8" s="1"/>
  <c r="D95" i="8" s="1"/>
  <c r="D94" i="7"/>
  <c r="D95" i="7" s="1"/>
  <c r="D18" i="7"/>
  <c r="D95" i="3"/>
  <c r="D33" i="3"/>
  <c r="D17" i="4"/>
  <c r="D31" i="4" s="1"/>
  <c r="F23" i="4"/>
  <c r="F22" i="4"/>
  <c r="D88" i="4"/>
  <c r="D78" i="4"/>
  <c r="D71" i="4"/>
  <c r="D64" i="4"/>
  <c r="D56" i="4"/>
  <c r="D50" i="4"/>
  <c r="D42" i="4"/>
  <c r="D90" i="3"/>
  <c r="D80" i="3"/>
  <c r="D73" i="3"/>
  <c r="D66" i="3"/>
  <c r="D58" i="3"/>
  <c r="D52" i="3"/>
  <c r="D44" i="3"/>
  <c r="F31" i="3"/>
  <c r="D19" i="3"/>
  <c r="D90" i="2"/>
  <c r="D80" i="2"/>
  <c r="D73" i="2"/>
  <c r="D66" i="2"/>
  <c r="D58" i="2"/>
  <c r="D52" i="2"/>
  <c r="D44" i="2"/>
  <c r="D33" i="2"/>
  <c r="F31" i="2"/>
  <c r="D18" i="2"/>
  <c r="D105" i="5" l="1"/>
  <c r="D90" i="4"/>
  <c r="F29" i="4"/>
  <c r="D92" i="3"/>
  <c r="D96" i="3" s="1"/>
  <c r="D92" i="2"/>
  <c r="D95" i="2" s="1"/>
  <c r="D96" i="2" s="1"/>
  <c r="D19" i="2"/>
  <c r="D106" i="5" l="1"/>
  <c r="D93" i="4"/>
  <c r="D94" i="4" s="1"/>
</calcChain>
</file>

<file path=xl/sharedStrings.xml><?xml version="1.0" encoding="utf-8"?>
<sst xmlns="http://schemas.openxmlformats.org/spreadsheetml/2006/main" count="1446" uniqueCount="109">
  <si>
    <t>בס"ד</t>
  </si>
  <si>
    <t>הכנסות פרוייקט</t>
  </si>
  <si>
    <t>הוצאות פרוייקט</t>
  </si>
  <si>
    <t>מחיר הפרוייקט לפי חוזה</t>
  </si>
  <si>
    <t>תשלום 1</t>
  </si>
  <si>
    <t>תשלום 2</t>
  </si>
  <si>
    <t>תשלום 3</t>
  </si>
  <si>
    <t>תשלום 4</t>
  </si>
  <si>
    <t>תשלום 5</t>
  </si>
  <si>
    <t>תשלום 6</t>
  </si>
  <si>
    <t>תשלום 7</t>
  </si>
  <si>
    <t>מחיר מצטבר לא כולל מע"מ</t>
  </si>
  <si>
    <t>תשלום</t>
  </si>
  <si>
    <t>מבודד</t>
  </si>
  <si>
    <t xml:space="preserve">תיק ניהול פרוייקט - חשבונות </t>
  </si>
  <si>
    <t>שם הפרוייקט:</t>
  </si>
  <si>
    <t>תוספות</t>
  </si>
  <si>
    <t>תשלום סופי</t>
  </si>
  <si>
    <t xml:space="preserve">תיאור </t>
  </si>
  <si>
    <t>מחיר</t>
  </si>
  <si>
    <t>סה"כ</t>
  </si>
  <si>
    <t>מספר הזמנת עבודה</t>
  </si>
  <si>
    <t>תאריך אישור מנהל פרוייקט</t>
  </si>
  <si>
    <t>יתרה לתשלום</t>
  </si>
  <si>
    <t>סיכום הוצאות</t>
  </si>
  <si>
    <t>סה"כ הכנסות</t>
  </si>
  <si>
    <t>פחח</t>
  </si>
  <si>
    <t>גרילים</t>
  </si>
  <si>
    <t>בית המיזוג</t>
  </si>
  <si>
    <t>סה"כ רווח</t>
  </si>
  <si>
    <t>מנוף</t>
  </si>
  <si>
    <t>סטטוס</t>
  </si>
  <si>
    <t>טרמוסטטים</t>
  </si>
  <si>
    <t>שם חברה</t>
  </si>
  <si>
    <t>שונות</t>
  </si>
  <si>
    <t>צנר</t>
  </si>
  <si>
    <t>כמות</t>
  </si>
  <si>
    <t>יחידות סמסונג</t>
  </si>
  <si>
    <t>מנופי אבי</t>
  </si>
  <si>
    <t>צנר מחמד</t>
  </si>
  <si>
    <t>צלח צבע</t>
  </si>
  <si>
    <t>יער כרמל</t>
  </si>
  <si>
    <t>פקג</t>
  </si>
  <si>
    <t>לוי</t>
  </si>
  <si>
    <t>בית לוי הלוי</t>
  </si>
  <si>
    <t>דייקין</t>
  </si>
  <si>
    <t>מתם 6</t>
  </si>
  <si>
    <t>מדי ספיקה</t>
  </si>
  <si>
    <t>חשמל עאמר</t>
  </si>
  <si>
    <t>רגשי טמפ' קונטרוטק</t>
  </si>
  <si>
    <t>רצועות למפוח</t>
  </si>
  <si>
    <t>יעל אלמוג זכאי</t>
  </si>
  <si>
    <t>בנק לאומי קרית מוצקין</t>
  </si>
  <si>
    <t>בנק לאומי קרית אתא</t>
  </si>
  <si>
    <t>מוצקין</t>
  </si>
  <si>
    <t>קרית אתא</t>
  </si>
  <si>
    <t>סמסונג</t>
  </si>
  <si>
    <t>צ'רי עפולה</t>
  </si>
  <si>
    <t>חוזה</t>
  </si>
  <si>
    <t>מפוח AMS</t>
  </si>
  <si>
    <t>סעיף</t>
  </si>
  <si>
    <t>חובה</t>
  </si>
  <si>
    <t>בנק לאומי מוצקין</t>
  </si>
  <si>
    <t xml:space="preserve">בנק לאומי קרית אתא </t>
  </si>
  <si>
    <t>מתם חיפה</t>
  </si>
  <si>
    <t>כמותי</t>
  </si>
  <si>
    <t>תשלום 8</t>
  </si>
  <si>
    <t>תשלום 9</t>
  </si>
  <si>
    <t xml:space="preserve">מנופי אבי </t>
  </si>
  <si>
    <t>נמסר</t>
  </si>
  <si>
    <t>לאומי ראשון לציון</t>
  </si>
  <si>
    <t>יחידות</t>
  </si>
  <si>
    <t>התקבל</t>
  </si>
  <si>
    <t>פרויקט</t>
  </si>
  <si>
    <t>ביליארד רעננה</t>
  </si>
  <si>
    <t xml:space="preserve">מרפאת דנה ואורלי </t>
  </si>
  <si>
    <t>מרפאת דנה ואורלי</t>
  </si>
  <si>
    <t>מפוחים</t>
  </si>
  <si>
    <t>קול מאסטר</t>
  </si>
  <si>
    <t>הערות</t>
  </si>
  <si>
    <t>חשמלאי</t>
  </si>
  <si>
    <t>צנרת ובידוד</t>
  </si>
  <si>
    <t>קופסאות מרדואן</t>
  </si>
  <si>
    <t>KLA מגדל העמק</t>
  </si>
  <si>
    <t>עתידים</t>
  </si>
  <si>
    <t>רואי דוד</t>
  </si>
  <si>
    <t>סה"כ יתרה</t>
  </si>
  <si>
    <t>משפחת דוד נס ציונה</t>
  </si>
  <si>
    <t>משפחת דוד</t>
  </si>
  <si>
    <t>מזגנים לממ"דים</t>
  </si>
  <si>
    <t>סה"כ יתרה לתשלום</t>
  </si>
  <si>
    <t>אילנה דוד</t>
  </si>
  <si>
    <t>גז</t>
  </si>
  <si>
    <t>תוספות 5350</t>
  </si>
  <si>
    <t>בנק לאומי קרית אתא שלב ב'</t>
  </si>
  <si>
    <t>ביליארד מודיעין</t>
  </si>
  <si>
    <t>מפוח</t>
  </si>
  <si>
    <t>לוחות</t>
  </si>
  <si>
    <t>עאמר</t>
  </si>
  <si>
    <t>דמפרים</t>
  </si>
  <si>
    <t>בביצוע</t>
  </si>
  <si>
    <t xml:space="preserve">KLA </t>
  </si>
  <si>
    <t>מ.ח פרויקטים</t>
  </si>
  <si>
    <t>תשלום 4 חלק 2</t>
  </si>
  <si>
    <t>לוגסי</t>
  </si>
  <si>
    <t>אודיטוריום בית חוילם כרמל</t>
  </si>
  <si>
    <t>עידן חדש</t>
  </si>
  <si>
    <t>מערכת מיצובישי</t>
  </si>
  <si>
    <t xml:space="preserve">מפוצל אלקטרה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</si>
</sst>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u/>
      <sz val="18"/>
      <color theme="1"/>
      <name val="Arial"/>
      <family val="2"/>
      <scheme val="minor"/>
    </font>
    <font>
      <b/>
      <u/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1" fillId="0" borderId="3" xfId="0" applyFont="1" applyBorder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5" fillId="0" borderId="0" xfId="0" applyFont="1" applyAlignment="1">
      <alignment horizontal="left"/>
    </xf>
    <xf numFmtId="0" fontId="1" fillId="0" borderId="11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/>
    <xf numFmtId="0" fontId="0" fillId="0" borderId="1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/>
    <xf numFmtId="3" fontId="0" fillId="0" borderId="14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 applyAlignment="1">
      <alignment horizontal="center"/>
    </xf>
    <xf numFmtId="0" fontId="1" fillId="0" borderId="23" xfId="0" applyFont="1" applyBorder="1"/>
    <xf numFmtId="0" fontId="0" fillId="0" borderId="24" xfId="0" applyBorder="1" applyAlignment="1">
      <alignment horizontal="center"/>
    </xf>
    <xf numFmtId="3" fontId="0" fillId="0" borderId="20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3" fontId="1" fillId="0" borderId="26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9" fontId="1" fillId="0" borderId="20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0" fillId="0" borderId="27" xfId="0" applyNumberFormat="1" applyBorder="1" applyAlignment="1">
      <alignment horizontal="center"/>
    </xf>
    <xf numFmtId="0" fontId="1" fillId="0" borderId="1" xfId="0" applyFont="1" applyBorder="1"/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4" xfId="0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F974-EAE8-4115-902A-1A7E545704F0}">
  <dimension ref="B3:I21"/>
  <sheetViews>
    <sheetView rightToLeft="1" tabSelected="1" topLeftCell="B7" workbookViewId="0">
      <selection activeCell="D9" sqref="D9"/>
    </sheetView>
  </sheetViews>
  <sheetFormatPr defaultRowHeight="14" x14ac:dyDescent="0.3"/>
  <cols>
    <col min="3" max="3" width="30.9140625" bestFit="1" customWidth="1"/>
    <col min="4" max="4" width="14.33203125" customWidth="1"/>
    <col min="5" max="5" width="18.5" bestFit="1" customWidth="1"/>
    <col min="7" max="7" width="9.9140625" bestFit="1" customWidth="1"/>
    <col min="8" max="8" width="16.83203125" customWidth="1"/>
    <col min="9" max="9" width="21.58203125" customWidth="1"/>
  </cols>
  <sheetData>
    <row r="3" spans="2:9" ht="23" x14ac:dyDescent="0.5">
      <c r="B3" s="58" t="s">
        <v>60</v>
      </c>
      <c r="C3" s="58" t="s">
        <v>73</v>
      </c>
      <c r="D3" s="58" t="s">
        <v>61</v>
      </c>
      <c r="E3" s="58" t="s">
        <v>31</v>
      </c>
      <c r="G3" s="58" t="s">
        <v>60</v>
      </c>
      <c r="H3" s="58" t="s">
        <v>72</v>
      </c>
      <c r="I3" s="58" t="s">
        <v>73</v>
      </c>
    </row>
    <row r="4" spans="2:9" ht="20" x14ac:dyDescent="0.4">
      <c r="B4" s="59">
        <v>1</v>
      </c>
      <c r="C4" s="59" t="s">
        <v>62</v>
      </c>
      <c r="D4" s="59">
        <v>62700</v>
      </c>
      <c r="E4" s="59" t="s">
        <v>69</v>
      </c>
      <c r="G4" s="59">
        <v>1</v>
      </c>
      <c r="H4" s="59">
        <v>312000</v>
      </c>
      <c r="I4" s="59" t="s">
        <v>64</v>
      </c>
    </row>
    <row r="5" spans="2:9" ht="20" x14ac:dyDescent="0.4">
      <c r="B5" s="59">
        <v>2</v>
      </c>
      <c r="C5" s="59" t="s">
        <v>63</v>
      </c>
      <c r="D5" s="59">
        <v>46600</v>
      </c>
      <c r="E5" s="59" t="s">
        <v>69</v>
      </c>
      <c r="G5" s="59">
        <v>2</v>
      </c>
      <c r="H5" s="59">
        <v>60000</v>
      </c>
      <c r="I5" s="59" t="s">
        <v>76</v>
      </c>
    </row>
    <row r="6" spans="2:9" ht="20" x14ac:dyDescent="0.4">
      <c r="B6" s="59">
        <v>3</v>
      </c>
      <c r="C6" s="59" t="s">
        <v>57</v>
      </c>
      <c r="D6" s="59">
        <v>76300</v>
      </c>
      <c r="E6" s="59" t="s">
        <v>69</v>
      </c>
      <c r="G6" s="59">
        <v>3</v>
      </c>
      <c r="H6" s="59">
        <v>145000</v>
      </c>
      <c r="I6" s="59" t="s">
        <v>57</v>
      </c>
    </row>
    <row r="7" spans="2:9" ht="20" x14ac:dyDescent="0.4">
      <c r="B7" s="59">
        <v>4</v>
      </c>
      <c r="C7" s="59" t="s">
        <v>64</v>
      </c>
      <c r="D7" s="59">
        <v>103300</v>
      </c>
      <c r="E7" s="59" t="s">
        <v>69</v>
      </c>
      <c r="G7" s="59">
        <v>4</v>
      </c>
      <c r="H7" s="59">
        <v>55000</v>
      </c>
      <c r="I7" s="59" t="s">
        <v>57</v>
      </c>
    </row>
    <row r="8" spans="2:9" ht="20" x14ac:dyDescent="0.4">
      <c r="B8" s="59">
        <v>5</v>
      </c>
      <c r="C8" s="59" t="s">
        <v>68</v>
      </c>
      <c r="D8" s="59">
        <v>366000</v>
      </c>
      <c r="E8" s="59" t="s">
        <v>100</v>
      </c>
      <c r="G8" s="59">
        <v>5</v>
      </c>
      <c r="H8" s="59">
        <v>73490</v>
      </c>
      <c r="I8" s="59" t="s">
        <v>91</v>
      </c>
    </row>
    <row r="9" spans="2:9" ht="20" x14ac:dyDescent="0.4">
      <c r="B9" s="59">
        <v>6</v>
      </c>
      <c r="C9" s="59" t="s">
        <v>70</v>
      </c>
      <c r="D9" s="59">
        <v>25789</v>
      </c>
      <c r="E9" s="59" t="s">
        <v>100</v>
      </c>
      <c r="G9" s="59">
        <v>6</v>
      </c>
      <c r="H9" s="59">
        <v>265000</v>
      </c>
      <c r="I9" s="59" t="s">
        <v>38</v>
      </c>
    </row>
    <row r="10" spans="2:9" ht="20" x14ac:dyDescent="0.4">
      <c r="B10" s="59">
        <v>7</v>
      </c>
      <c r="C10" s="59" t="s">
        <v>74</v>
      </c>
      <c r="D10" s="59">
        <v>85400</v>
      </c>
      <c r="E10" s="59" t="s">
        <v>69</v>
      </c>
      <c r="G10" s="59">
        <v>7</v>
      </c>
      <c r="H10" s="59"/>
      <c r="I10" s="59"/>
    </row>
    <row r="11" spans="2:9" ht="20" x14ac:dyDescent="0.4">
      <c r="B11" s="59">
        <v>8</v>
      </c>
      <c r="C11" s="59" t="s">
        <v>75</v>
      </c>
      <c r="D11" s="59">
        <v>6500</v>
      </c>
      <c r="E11" s="59" t="s">
        <v>69</v>
      </c>
      <c r="G11" s="59">
        <v>8</v>
      </c>
      <c r="H11" s="59"/>
      <c r="I11" s="59"/>
    </row>
    <row r="12" spans="2:9" ht="20" x14ac:dyDescent="0.4">
      <c r="B12" s="59">
        <v>9</v>
      </c>
      <c r="C12" s="59" t="s">
        <v>83</v>
      </c>
      <c r="D12" s="59">
        <v>67150</v>
      </c>
      <c r="E12" s="59" t="s">
        <v>69</v>
      </c>
      <c r="G12" s="59">
        <v>9</v>
      </c>
      <c r="H12" s="59"/>
      <c r="I12" s="59"/>
    </row>
    <row r="13" spans="2:9" ht="20" x14ac:dyDescent="0.4">
      <c r="B13" s="59">
        <v>10</v>
      </c>
      <c r="C13" s="59" t="s">
        <v>84</v>
      </c>
      <c r="D13" s="59">
        <v>68000</v>
      </c>
      <c r="E13" s="59" t="s">
        <v>69</v>
      </c>
      <c r="G13" s="59">
        <v>10</v>
      </c>
      <c r="H13" s="59"/>
      <c r="I13" s="59"/>
    </row>
    <row r="14" spans="2:9" ht="20" x14ac:dyDescent="0.4">
      <c r="B14" s="59">
        <v>11</v>
      </c>
      <c r="C14" s="59" t="s">
        <v>85</v>
      </c>
      <c r="D14" s="59">
        <v>51593</v>
      </c>
      <c r="E14" s="59" t="s">
        <v>69</v>
      </c>
      <c r="G14" s="59">
        <v>11</v>
      </c>
      <c r="H14" s="59"/>
      <c r="I14" s="59"/>
    </row>
    <row r="15" spans="2:9" ht="20" x14ac:dyDescent="0.4">
      <c r="B15" s="59">
        <v>12</v>
      </c>
      <c r="C15" s="59" t="s">
        <v>94</v>
      </c>
      <c r="D15" s="59">
        <v>8134</v>
      </c>
      <c r="E15" s="59" t="s">
        <v>69</v>
      </c>
      <c r="G15" s="59">
        <v>12</v>
      </c>
      <c r="H15" s="59"/>
      <c r="I15" s="59"/>
    </row>
    <row r="16" spans="2:9" ht="20" x14ac:dyDescent="0.4">
      <c r="B16" s="59">
        <v>13</v>
      </c>
      <c r="C16" s="59" t="s">
        <v>51</v>
      </c>
      <c r="D16" s="59">
        <v>40000</v>
      </c>
      <c r="E16" s="59" t="s">
        <v>100</v>
      </c>
      <c r="G16" s="59">
        <v>13</v>
      </c>
      <c r="H16" s="59"/>
      <c r="I16" s="59"/>
    </row>
    <row r="17" spans="2:9" ht="20" x14ac:dyDescent="0.4">
      <c r="B17" s="59">
        <v>14</v>
      </c>
      <c r="C17" s="59" t="s">
        <v>95</v>
      </c>
      <c r="D17" s="59">
        <v>83850</v>
      </c>
      <c r="E17" s="59" t="s">
        <v>100</v>
      </c>
      <c r="G17" s="59">
        <v>14</v>
      </c>
      <c r="H17" s="59"/>
      <c r="I17" s="59"/>
    </row>
    <row r="18" spans="2:9" ht="20" x14ac:dyDescent="0.4">
      <c r="B18" s="59">
        <v>15</v>
      </c>
      <c r="C18" s="59" t="s">
        <v>104</v>
      </c>
      <c r="D18" s="59">
        <v>21090</v>
      </c>
      <c r="E18" s="59" t="s">
        <v>69</v>
      </c>
      <c r="G18" s="65"/>
      <c r="H18" s="59"/>
      <c r="I18" s="65"/>
    </row>
    <row r="19" spans="2:9" ht="18" x14ac:dyDescent="0.4">
      <c r="D19" s="66">
        <f>SUM(D4:D18)</f>
        <v>1112406</v>
      </c>
      <c r="H19" s="62">
        <f>SUM(H4:H17)</f>
        <v>910490</v>
      </c>
    </row>
    <row r="21" spans="2:9" ht="20" x14ac:dyDescent="0.4">
      <c r="D21" s="63" t="s">
        <v>86</v>
      </c>
      <c r="E21" s="63">
        <f>D19-H19</f>
        <v>201916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B036-EB19-4139-B2E5-07B2CFDF0D75}">
  <dimension ref="C3:F105"/>
  <sheetViews>
    <sheetView rightToLeft="1" topLeftCell="A47" workbookViewId="0">
      <selection activeCell="D70" sqref="D70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  <col min="6" max="6" width="17.75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101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65</v>
      </c>
      <c r="E10" s="30" t="s">
        <v>31</v>
      </c>
    </row>
    <row r="11" spans="3:6" x14ac:dyDescent="0.3">
      <c r="C11" s="32" t="s">
        <v>3</v>
      </c>
      <c r="D11" s="33"/>
      <c r="E11" s="34"/>
    </row>
    <row r="12" spans="3:6" x14ac:dyDescent="0.3">
      <c r="C12" s="5" t="s">
        <v>4</v>
      </c>
      <c r="D12" s="4">
        <v>285000</v>
      </c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x14ac:dyDescent="0.3">
      <c r="C17" s="5" t="s">
        <v>9</v>
      </c>
      <c r="D17" s="4"/>
      <c r="E17" s="52"/>
    </row>
    <row r="18" spans="3:6" x14ac:dyDescent="0.3">
      <c r="C18" s="5" t="s">
        <v>10</v>
      </c>
      <c r="D18" s="4"/>
      <c r="E18" s="52"/>
    </row>
    <row r="19" spans="3:6" x14ac:dyDescent="0.3">
      <c r="C19" s="5" t="s">
        <v>66</v>
      </c>
      <c r="D19" s="4"/>
      <c r="E19" s="52"/>
    </row>
    <row r="20" spans="3:6" x14ac:dyDescent="0.3">
      <c r="C20" s="5" t="s">
        <v>67</v>
      </c>
      <c r="D20" s="4"/>
      <c r="E20" s="52"/>
    </row>
    <row r="21" spans="3:6" ht="14.5" thickBot="1" x14ac:dyDescent="0.35">
      <c r="C21" s="39" t="s">
        <v>11</v>
      </c>
      <c r="D21" s="60">
        <f>SUM(D11:D20)</f>
        <v>285000</v>
      </c>
      <c r="E21" s="40"/>
    </row>
    <row r="22" spans="3:6" ht="14.5" thickBot="1" x14ac:dyDescent="0.35">
      <c r="C22" s="37" t="s">
        <v>23</v>
      </c>
      <c r="D22" s="41">
        <f>D11-D21</f>
        <v>-285000</v>
      </c>
      <c r="E22" s="38"/>
    </row>
    <row r="23" spans="3:6" x14ac:dyDescent="0.3">
      <c r="D23" s="9"/>
      <c r="E23" s="9"/>
    </row>
    <row r="24" spans="3:6" ht="20" x14ac:dyDescent="0.4">
      <c r="C24" s="2" t="s">
        <v>16</v>
      </c>
      <c r="D24" s="9"/>
      <c r="E24" s="9"/>
    </row>
    <row r="25" spans="3:6" ht="14.5" thickBot="1" x14ac:dyDescent="0.35">
      <c r="D25" s="9"/>
      <c r="E25" s="9"/>
    </row>
    <row r="26" spans="3:6" ht="14.5" thickBot="1" x14ac:dyDescent="0.35">
      <c r="C26" s="28" t="s">
        <v>18</v>
      </c>
      <c r="D26" s="29" t="s">
        <v>21</v>
      </c>
      <c r="E26" s="29" t="s">
        <v>22</v>
      </c>
      <c r="F26" s="30" t="s">
        <v>19</v>
      </c>
    </row>
    <row r="27" spans="3:6" x14ac:dyDescent="0.3">
      <c r="C27" s="26"/>
      <c r="D27" s="19"/>
      <c r="E27" s="19"/>
      <c r="F27" s="27"/>
    </row>
    <row r="28" spans="3:6" x14ac:dyDescent="0.3">
      <c r="C28" s="26"/>
      <c r="D28" s="19"/>
      <c r="E28" s="19"/>
      <c r="F28" s="27"/>
    </row>
    <row r="29" spans="3:6" x14ac:dyDescent="0.3">
      <c r="C29" s="26"/>
      <c r="D29" s="19"/>
      <c r="E29" s="19"/>
      <c r="F29" s="27"/>
    </row>
    <row r="30" spans="3:6" x14ac:dyDescent="0.3">
      <c r="C30" s="26"/>
      <c r="D30" s="19"/>
      <c r="E30" s="19"/>
      <c r="F30" s="27"/>
    </row>
    <row r="31" spans="3:6" x14ac:dyDescent="0.3">
      <c r="C31" s="49"/>
      <c r="D31" s="19"/>
      <c r="E31" s="4"/>
      <c r="F31" s="21"/>
    </row>
    <row r="32" spans="3:6" x14ac:dyDescent="0.3">
      <c r="C32" s="49"/>
      <c r="D32" s="19"/>
      <c r="E32" s="4"/>
      <c r="F32" s="21"/>
    </row>
    <row r="33" spans="3:6" ht="14.5" thickBot="1" x14ac:dyDescent="0.35">
      <c r="C33" s="50"/>
      <c r="D33" s="10"/>
      <c r="E33" s="10"/>
      <c r="F33" s="51"/>
    </row>
    <row r="34" spans="3:6" ht="14.5" thickBot="1" x14ac:dyDescent="0.35">
      <c r="C34" s="25" t="s">
        <v>20</v>
      </c>
      <c r="D34" s="16"/>
      <c r="E34" s="16"/>
      <c r="F34" s="17"/>
    </row>
    <row r="35" spans="3:6" x14ac:dyDescent="0.3">
      <c r="D35" s="9"/>
      <c r="E35" s="9"/>
    </row>
    <row r="36" spans="3:6" x14ac:dyDescent="0.3">
      <c r="C36" s="44" t="s">
        <v>25</v>
      </c>
      <c r="D36" s="45"/>
      <c r="E36" s="9"/>
    </row>
    <row r="37" spans="3:6" x14ac:dyDescent="0.3">
      <c r="C37" s="44"/>
      <c r="D37" s="44"/>
      <c r="E37" s="9"/>
    </row>
    <row r="38" spans="3:6" x14ac:dyDescent="0.3">
      <c r="D38" s="9"/>
      <c r="E38" s="9"/>
    </row>
    <row r="39" spans="3:6" ht="23" x14ac:dyDescent="0.5">
      <c r="C39" s="3" t="s">
        <v>2</v>
      </c>
      <c r="D39" s="11"/>
      <c r="E39" s="11"/>
    </row>
    <row r="40" spans="3:6" ht="14.5" thickBot="1" x14ac:dyDescent="0.35">
      <c r="D40" s="9"/>
      <c r="E40" s="9"/>
    </row>
    <row r="41" spans="3:6" ht="14.5" thickBot="1" x14ac:dyDescent="0.35">
      <c r="C41" s="35" t="s">
        <v>12</v>
      </c>
      <c r="D41" s="36" t="s">
        <v>81</v>
      </c>
    </row>
    <row r="42" spans="3:6" x14ac:dyDescent="0.3">
      <c r="C42" s="5" t="s">
        <v>4</v>
      </c>
      <c r="D42" s="19">
        <v>40000</v>
      </c>
    </row>
    <row r="43" spans="3:6" x14ac:dyDescent="0.3">
      <c r="C43" s="5" t="s">
        <v>5</v>
      </c>
      <c r="D43" s="4"/>
    </row>
    <row r="44" spans="3:6" x14ac:dyDescent="0.3">
      <c r="C44" s="5" t="s">
        <v>6</v>
      </c>
      <c r="D44" s="4"/>
    </row>
    <row r="45" spans="3:6" x14ac:dyDescent="0.3">
      <c r="C45" s="5" t="s">
        <v>7</v>
      </c>
      <c r="D45" s="4"/>
    </row>
    <row r="46" spans="3:6" ht="14.5" thickBot="1" x14ac:dyDescent="0.35">
      <c r="C46" s="5" t="s">
        <v>8</v>
      </c>
      <c r="D46" s="4"/>
    </row>
    <row r="47" spans="3:6" ht="14.5" thickBot="1" x14ac:dyDescent="0.35">
      <c r="C47" s="15" t="s">
        <v>11</v>
      </c>
      <c r="D47" s="16">
        <f>SUM(D41:D46)</f>
        <v>40000</v>
      </c>
    </row>
    <row r="48" spans="3:6" ht="14.5" thickBot="1" x14ac:dyDescent="0.35">
      <c r="D48" s="9"/>
    </row>
    <row r="49" spans="3:4" x14ac:dyDescent="0.3">
      <c r="C49" s="7" t="s">
        <v>12</v>
      </c>
      <c r="D49" s="22" t="s">
        <v>71</v>
      </c>
    </row>
    <row r="50" spans="3:4" x14ac:dyDescent="0.3">
      <c r="C50" s="5" t="s">
        <v>4</v>
      </c>
      <c r="D50" s="4">
        <v>45000</v>
      </c>
    </row>
    <row r="51" spans="3:4" x14ac:dyDescent="0.3">
      <c r="C51" s="5" t="s">
        <v>5</v>
      </c>
      <c r="D51" s="4"/>
    </row>
    <row r="52" spans="3:4" x14ac:dyDescent="0.3">
      <c r="C52" s="5" t="s">
        <v>6</v>
      </c>
      <c r="D52" s="4"/>
    </row>
    <row r="53" spans="3:4" x14ac:dyDescent="0.3">
      <c r="C53" s="5" t="s">
        <v>7</v>
      </c>
      <c r="D53" s="4"/>
    </row>
    <row r="54" spans="3:4" ht="14.5" thickBot="1" x14ac:dyDescent="0.35">
      <c r="C54" s="5" t="s">
        <v>8</v>
      </c>
      <c r="D54" s="4"/>
    </row>
    <row r="55" spans="3:4" ht="14.5" thickBot="1" x14ac:dyDescent="0.35">
      <c r="C55" s="15" t="s">
        <v>11</v>
      </c>
      <c r="D55" s="16">
        <f>SUM(D49:D54)</f>
        <v>45000</v>
      </c>
    </row>
    <row r="56" spans="3:4" ht="14.5" thickBot="1" x14ac:dyDescent="0.35">
      <c r="D56" s="9"/>
    </row>
    <row r="57" spans="3:4" x14ac:dyDescent="0.3">
      <c r="C57" s="7" t="s">
        <v>12</v>
      </c>
      <c r="D57" s="22" t="s">
        <v>26</v>
      </c>
    </row>
    <row r="58" spans="3:4" x14ac:dyDescent="0.3">
      <c r="C58" s="5" t="s">
        <v>4</v>
      </c>
      <c r="D58" s="4">
        <v>48000</v>
      </c>
    </row>
    <row r="59" spans="3:4" x14ac:dyDescent="0.3">
      <c r="C59" s="5" t="s">
        <v>5</v>
      </c>
      <c r="D59" s="4"/>
    </row>
    <row r="60" spans="3:4" ht="14.5" thickBot="1" x14ac:dyDescent="0.35">
      <c r="C60" s="5" t="s">
        <v>6</v>
      </c>
      <c r="D60" s="4"/>
    </row>
    <row r="61" spans="3:4" ht="14.5" thickBot="1" x14ac:dyDescent="0.35">
      <c r="C61" s="15" t="s">
        <v>11</v>
      </c>
      <c r="D61" s="16">
        <f>SUM(D57:D60)</f>
        <v>48000</v>
      </c>
    </row>
    <row r="62" spans="3:4" ht="14.5" thickBot="1" x14ac:dyDescent="0.35">
      <c r="C62" s="18"/>
      <c r="D62" s="9"/>
    </row>
    <row r="63" spans="3:4" x14ac:dyDescent="0.3">
      <c r="C63" s="7" t="s">
        <v>12</v>
      </c>
      <c r="D63" s="22" t="s">
        <v>82</v>
      </c>
    </row>
    <row r="64" spans="3:4" x14ac:dyDescent="0.3">
      <c r="C64" s="5" t="s">
        <v>4</v>
      </c>
      <c r="D64" s="4">
        <v>7700</v>
      </c>
    </row>
    <row r="65" spans="3:4" x14ac:dyDescent="0.3">
      <c r="C65" s="5" t="s">
        <v>5</v>
      </c>
      <c r="D65" s="4"/>
    </row>
    <row r="66" spans="3:4" x14ac:dyDescent="0.3">
      <c r="C66" s="5" t="s">
        <v>6</v>
      </c>
      <c r="D66" s="4"/>
    </row>
    <row r="67" spans="3:4" x14ac:dyDescent="0.3">
      <c r="C67" s="5" t="s">
        <v>7</v>
      </c>
      <c r="D67" s="4"/>
    </row>
    <row r="68" spans="3:4" x14ac:dyDescent="0.3">
      <c r="C68" s="5" t="s">
        <v>8</v>
      </c>
      <c r="D68" s="4"/>
    </row>
    <row r="69" spans="3:4" x14ac:dyDescent="0.3">
      <c r="C69" s="5" t="s">
        <v>9</v>
      </c>
      <c r="D69" s="4"/>
    </row>
    <row r="70" spans="3:4" ht="14.5" thickBot="1" x14ac:dyDescent="0.35">
      <c r="C70" s="5" t="s">
        <v>10</v>
      </c>
      <c r="D70" s="4"/>
    </row>
    <row r="71" spans="3:4" ht="14.5" thickBot="1" x14ac:dyDescent="0.35">
      <c r="C71" s="15" t="s">
        <v>11</v>
      </c>
      <c r="D71" s="31">
        <f>SUM(D64:D70)</f>
        <v>7700</v>
      </c>
    </row>
    <row r="72" spans="3:4" ht="14.5" thickBot="1" x14ac:dyDescent="0.35">
      <c r="D72" s="9"/>
    </row>
    <row r="73" spans="3:4" x14ac:dyDescent="0.3">
      <c r="C73" s="7" t="s">
        <v>12</v>
      </c>
      <c r="D73" s="22" t="s">
        <v>27</v>
      </c>
    </row>
    <row r="74" spans="3:4" x14ac:dyDescent="0.3">
      <c r="C74" s="5" t="s">
        <v>4</v>
      </c>
      <c r="D74" s="4">
        <v>10000</v>
      </c>
    </row>
    <row r="75" spans="3:4" x14ac:dyDescent="0.3">
      <c r="C75" s="5" t="s">
        <v>5</v>
      </c>
      <c r="D75" s="4"/>
    </row>
    <row r="76" spans="3:4" x14ac:dyDescent="0.3">
      <c r="C76" s="5" t="s">
        <v>6</v>
      </c>
      <c r="D76" s="4"/>
    </row>
    <row r="77" spans="3:4" ht="14.5" thickBot="1" x14ac:dyDescent="0.35">
      <c r="C77" s="6" t="s">
        <v>7</v>
      </c>
      <c r="D77" s="23"/>
    </row>
    <row r="78" spans="3:4" ht="14.5" thickBot="1" x14ac:dyDescent="0.35">
      <c r="C78" s="5" t="s">
        <v>8</v>
      </c>
      <c r="D78" s="31"/>
    </row>
    <row r="79" spans="3:4" ht="14.5" thickBot="1" x14ac:dyDescent="0.35">
      <c r="C79" s="5" t="s">
        <v>9</v>
      </c>
      <c r="D79" s="31"/>
    </row>
    <row r="80" spans="3:4" ht="14.5" thickBot="1" x14ac:dyDescent="0.35">
      <c r="C80" s="5" t="s">
        <v>10</v>
      </c>
      <c r="D80" s="31"/>
    </row>
    <row r="81" spans="3:5" ht="14.5" thickBot="1" x14ac:dyDescent="0.35">
      <c r="C81" s="15" t="s">
        <v>11</v>
      </c>
      <c r="D81" s="16">
        <f>SUM(D73:D80)</f>
        <v>10000</v>
      </c>
    </row>
    <row r="82" spans="3:5" ht="14.5" thickBot="1" x14ac:dyDescent="0.35">
      <c r="C82" s="18"/>
      <c r="D82" s="9"/>
    </row>
    <row r="83" spans="3:5" x14ac:dyDescent="0.3">
      <c r="C83" s="7" t="s">
        <v>12</v>
      </c>
      <c r="D83" s="22" t="s">
        <v>77</v>
      </c>
    </row>
    <row r="84" spans="3:5" x14ac:dyDescent="0.3">
      <c r="C84" s="5" t="s">
        <v>4</v>
      </c>
      <c r="D84" s="4"/>
    </row>
    <row r="85" spans="3:5" x14ac:dyDescent="0.3">
      <c r="C85" s="5" t="s">
        <v>5</v>
      </c>
      <c r="D85" s="4"/>
    </row>
    <row r="86" spans="3:5" x14ac:dyDescent="0.3">
      <c r="C86" s="5" t="s">
        <v>6</v>
      </c>
      <c r="D86" s="4"/>
    </row>
    <row r="87" spans="3:5" ht="14.5" thickBot="1" x14ac:dyDescent="0.35">
      <c r="C87" s="6" t="s">
        <v>7</v>
      </c>
      <c r="D87" s="23"/>
    </row>
    <row r="88" spans="3:5" ht="14.5" thickBot="1" x14ac:dyDescent="0.35">
      <c r="C88" s="15" t="s">
        <v>11</v>
      </c>
      <c r="D88" s="16">
        <f>SUM(D83:D87)</f>
        <v>0</v>
      </c>
    </row>
    <row r="89" spans="3:5" ht="14.5" thickBot="1" x14ac:dyDescent="0.35">
      <c r="D89" s="9"/>
      <c r="E89" s="9"/>
    </row>
    <row r="90" spans="3:5" x14ac:dyDescent="0.3">
      <c r="C90" s="7" t="s">
        <v>12</v>
      </c>
      <c r="D90" s="22" t="s">
        <v>34</v>
      </c>
      <c r="E90" s="61" t="s">
        <v>79</v>
      </c>
    </row>
    <row r="91" spans="3:5" x14ac:dyDescent="0.3">
      <c r="C91" s="5" t="s">
        <v>4</v>
      </c>
      <c r="D91" s="4"/>
      <c r="E91" s="12"/>
    </row>
    <row r="92" spans="3:5" x14ac:dyDescent="0.3">
      <c r="C92" s="5" t="s">
        <v>5</v>
      </c>
      <c r="D92" s="4"/>
      <c r="E92" s="12"/>
    </row>
    <row r="93" spans="3:5" x14ac:dyDescent="0.3">
      <c r="C93" s="5" t="s">
        <v>6</v>
      </c>
      <c r="D93" s="4"/>
      <c r="E93" s="12"/>
    </row>
    <row r="94" spans="3:5" x14ac:dyDescent="0.3">
      <c r="C94" s="5" t="s">
        <v>7</v>
      </c>
      <c r="D94" s="10"/>
      <c r="E94" s="12"/>
    </row>
    <row r="95" spans="3:5" x14ac:dyDescent="0.3">
      <c r="C95" s="5" t="s">
        <v>8</v>
      </c>
      <c r="D95" s="10"/>
      <c r="E95" s="12"/>
    </row>
    <row r="96" spans="3:5" x14ac:dyDescent="0.3">
      <c r="C96" s="5" t="s">
        <v>9</v>
      </c>
      <c r="D96" s="10"/>
      <c r="E96" s="12"/>
    </row>
    <row r="97" spans="3:5" ht="14.5" thickBot="1" x14ac:dyDescent="0.35">
      <c r="C97" s="5" t="s">
        <v>10</v>
      </c>
      <c r="D97" s="10"/>
      <c r="E97" s="12"/>
    </row>
    <row r="98" spans="3:5" ht="14.5" thickBot="1" x14ac:dyDescent="0.35">
      <c r="C98" s="15" t="s">
        <v>11</v>
      </c>
      <c r="D98" s="16">
        <f>SUM(D90:D97)</f>
        <v>0</v>
      </c>
    </row>
    <row r="99" spans="3:5" ht="14.5" thickBot="1" x14ac:dyDescent="0.35">
      <c r="C99" s="18"/>
      <c r="D99" s="9"/>
    </row>
    <row r="100" spans="3:5" x14ac:dyDescent="0.3">
      <c r="C100" s="42" t="s">
        <v>24</v>
      </c>
      <c r="D100" s="20">
        <f>D81+D71+D61+D55+D47+D88+D98</f>
        <v>150700</v>
      </c>
    </row>
    <row r="101" spans="3:5" ht="14.5" thickBot="1" x14ac:dyDescent="0.35">
      <c r="C101" s="43"/>
      <c r="D101" s="24"/>
    </row>
    <row r="102" spans="3:5" ht="14.5" thickBot="1" x14ac:dyDescent="0.35"/>
    <row r="103" spans="3:5" ht="14.5" thickBot="1" x14ac:dyDescent="0.35">
      <c r="C103" s="46" t="s">
        <v>29</v>
      </c>
      <c r="D103" s="47">
        <f>D21-D47-D55-D61-D71-D81-D88-D98</f>
        <v>134300</v>
      </c>
    </row>
    <row r="104" spans="3:5" ht="14.5" thickBot="1" x14ac:dyDescent="0.35">
      <c r="C104" s="53">
        <v>0.5</v>
      </c>
      <c r="D104" s="48">
        <f>D103*0.5</f>
        <v>67150</v>
      </c>
    </row>
    <row r="105" spans="3:5" ht="14.5" thickBot="1" x14ac:dyDescent="0.35">
      <c r="C105" s="54"/>
      <c r="D105" s="55"/>
    </row>
  </sheetData>
  <mergeCells count="2">
    <mergeCell ref="C4:E4"/>
    <mergeCell ref="D6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A18C-6735-458A-88AE-DD13F17ACBE1}">
  <dimension ref="C3:F105"/>
  <sheetViews>
    <sheetView rightToLeft="1" workbookViewId="0">
      <selection activeCell="E8" sqref="E8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  <col min="6" max="6" width="17.75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95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65</v>
      </c>
      <c r="E10" s="30" t="s">
        <v>31</v>
      </c>
    </row>
    <row r="11" spans="3:6" x14ac:dyDescent="0.3">
      <c r="C11" s="32" t="s">
        <v>3</v>
      </c>
      <c r="D11" s="33">
        <v>390000</v>
      </c>
      <c r="E11" s="34"/>
    </row>
    <row r="12" spans="3:6" x14ac:dyDescent="0.3">
      <c r="C12" s="5" t="s">
        <v>4</v>
      </c>
      <c r="D12" s="4"/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x14ac:dyDescent="0.3">
      <c r="C17" s="5" t="s">
        <v>9</v>
      </c>
      <c r="D17" s="4"/>
      <c r="E17" s="52"/>
    </row>
    <row r="18" spans="3:6" x14ac:dyDescent="0.3">
      <c r="C18" s="5" t="s">
        <v>10</v>
      </c>
      <c r="D18" s="4"/>
      <c r="E18" s="52"/>
    </row>
    <row r="19" spans="3:6" x14ac:dyDescent="0.3">
      <c r="C19" s="5" t="s">
        <v>66</v>
      </c>
      <c r="D19" s="4"/>
      <c r="E19" s="52"/>
    </row>
    <row r="20" spans="3:6" x14ac:dyDescent="0.3">
      <c r="C20" s="5" t="s">
        <v>67</v>
      </c>
      <c r="D20" s="4"/>
      <c r="E20" s="52"/>
    </row>
    <row r="21" spans="3:6" ht="14.5" thickBot="1" x14ac:dyDescent="0.35">
      <c r="C21" s="39" t="s">
        <v>11</v>
      </c>
      <c r="D21" s="60">
        <f>SUM(D11:D20)</f>
        <v>390000</v>
      </c>
      <c r="E21" s="40"/>
    </row>
    <row r="22" spans="3:6" ht="14.5" thickBot="1" x14ac:dyDescent="0.35">
      <c r="C22" s="37" t="s">
        <v>23</v>
      </c>
      <c r="D22" s="41">
        <f>D11-D21</f>
        <v>0</v>
      </c>
      <c r="E22" s="38"/>
    </row>
    <row r="23" spans="3:6" x14ac:dyDescent="0.3">
      <c r="D23" s="9"/>
      <c r="E23" s="9"/>
    </row>
    <row r="24" spans="3:6" ht="20" x14ac:dyDescent="0.4">
      <c r="C24" s="2" t="s">
        <v>16</v>
      </c>
      <c r="D24" s="9"/>
      <c r="E24" s="9"/>
    </row>
    <row r="25" spans="3:6" ht="14.5" thickBot="1" x14ac:dyDescent="0.35">
      <c r="D25" s="9"/>
      <c r="E25" s="9"/>
    </row>
    <row r="26" spans="3:6" ht="14.5" thickBot="1" x14ac:dyDescent="0.35">
      <c r="C26" s="28" t="s">
        <v>18</v>
      </c>
      <c r="D26" s="29" t="s">
        <v>21</v>
      </c>
      <c r="E26" s="29" t="s">
        <v>22</v>
      </c>
      <c r="F26" s="30" t="s">
        <v>19</v>
      </c>
    </row>
    <row r="27" spans="3:6" x14ac:dyDescent="0.3">
      <c r="C27" s="26"/>
      <c r="D27" s="19"/>
      <c r="E27" s="19"/>
      <c r="F27" s="27"/>
    </row>
    <row r="28" spans="3:6" x14ac:dyDescent="0.3">
      <c r="C28" s="26"/>
      <c r="D28" s="19"/>
      <c r="E28" s="19"/>
      <c r="F28" s="27"/>
    </row>
    <row r="29" spans="3:6" x14ac:dyDescent="0.3">
      <c r="C29" s="26"/>
      <c r="D29" s="19"/>
      <c r="E29" s="19"/>
      <c r="F29" s="27"/>
    </row>
    <row r="30" spans="3:6" x14ac:dyDescent="0.3">
      <c r="C30" s="26"/>
      <c r="D30" s="19"/>
      <c r="E30" s="19"/>
      <c r="F30" s="27"/>
    </row>
    <row r="31" spans="3:6" x14ac:dyDescent="0.3">
      <c r="C31" s="49"/>
      <c r="D31" s="19"/>
      <c r="E31" s="4"/>
      <c r="F31" s="21"/>
    </row>
    <row r="32" spans="3:6" x14ac:dyDescent="0.3">
      <c r="C32" s="49"/>
      <c r="D32" s="19"/>
      <c r="E32" s="4"/>
      <c r="F32" s="21"/>
    </row>
    <row r="33" spans="3:6" ht="14.5" thickBot="1" x14ac:dyDescent="0.35">
      <c r="C33" s="50"/>
      <c r="D33" s="10"/>
      <c r="E33" s="10"/>
      <c r="F33" s="51"/>
    </row>
    <row r="34" spans="3:6" ht="14.5" thickBot="1" x14ac:dyDescent="0.35">
      <c r="C34" s="25" t="s">
        <v>20</v>
      </c>
      <c r="D34" s="16"/>
      <c r="E34" s="16"/>
      <c r="F34" s="17"/>
    </row>
    <row r="35" spans="3:6" x14ac:dyDescent="0.3">
      <c r="D35" s="9"/>
      <c r="E35" s="9"/>
    </row>
    <row r="36" spans="3:6" x14ac:dyDescent="0.3">
      <c r="C36" s="44" t="s">
        <v>25</v>
      </c>
      <c r="D36" s="45"/>
      <c r="E36" s="9"/>
    </row>
    <row r="37" spans="3:6" x14ac:dyDescent="0.3">
      <c r="C37" s="44"/>
      <c r="D37" s="44"/>
      <c r="E37" s="9"/>
    </row>
    <row r="38" spans="3:6" x14ac:dyDescent="0.3">
      <c r="D38" s="9"/>
      <c r="E38" s="9"/>
    </row>
    <row r="39" spans="3:6" ht="23" x14ac:dyDescent="0.5">
      <c r="C39" s="3" t="s">
        <v>2</v>
      </c>
      <c r="D39" s="11"/>
      <c r="E39" s="11"/>
    </row>
    <row r="40" spans="3:6" ht="14.5" thickBot="1" x14ac:dyDescent="0.35">
      <c r="D40" s="9"/>
      <c r="E40" s="9"/>
    </row>
    <row r="41" spans="3:6" ht="14.5" thickBot="1" x14ac:dyDescent="0.35">
      <c r="C41" s="35" t="s">
        <v>12</v>
      </c>
      <c r="D41" s="36" t="s">
        <v>81</v>
      </c>
    </row>
    <row r="42" spans="3:6" x14ac:dyDescent="0.3">
      <c r="C42" s="5" t="s">
        <v>4</v>
      </c>
      <c r="D42" s="19">
        <v>40000</v>
      </c>
    </row>
    <row r="43" spans="3:6" x14ac:dyDescent="0.3">
      <c r="C43" s="5" t="s">
        <v>5</v>
      </c>
      <c r="D43" s="4"/>
    </row>
    <row r="44" spans="3:6" x14ac:dyDescent="0.3">
      <c r="C44" s="5" t="s">
        <v>6</v>
      </c>
      <c r="D44" s="4"/>
    </row>
    <row r="45" spans="3:6" x14ac:dyDescent="0.3">
      <c r="C45" s="5" t="s">
        <v>7</v>
      </c>
      <c r="D45" s="4"/>
    </row>
    <row r="46" spans="3:6" ht="14.5" thickBot="1" x14ac:dyDescent="0.35">
      <c r="C46" s="5" t="s">
        <v>8</v>
      </c>
      <c r="D46" s="4"/>
    </row>
    <row r="47" spans="3:6" ht="14.5" thickBot="1" x14ac:dyDescent="0.35">
      <c r="C47" s="15" t="s">
        <v>11</v>
      </c>
      <c r="D47" s="16">
        <f>SUM(D41:D46)</f>
        <v>40000</v>
      </c>
    </row>
    <row r="48" spans="3:6" ht="14.5" thickBot="1" x14ac:dyDescent="0.35">
      <c r="D48" s="9"/>
    </row>
    <row r="49" spans="3:4" x14ac:dyDescent="0.3">
      <c r="C49" s="7" t="s">
        <v>12</v>
      </c>
      <c r="D49" s="22" t="s">
        <v>71</v>
      </c>
    </row>
    <row r="50" spans="3:4" x14ac:dyDescent="0.3">
      <c r="C50" s="5" t="s">
        <v>4</v>
      </c>
      <c r="D50" s="4">
        <v>75000</v>
      </c>
    </row>
    <row r="51" spans="3:4" x14ac:dyDescent="0.3">
      <c r="C51" s="5" t="s">
        <v>5</v>
      </c>
      <c r="D51" s="4"/>
    </row>
    <row r="52" spans="3:4" x14ac:dyDescent="0.3">
      <c r="C52" s="5" t="s">
        <v>6</v>
      </c>
      <c r="D52" s="4"/>
    </row>
    <row r="53" spans="3:4" x14ac:dyDescent="0.3">
      <c r="C53" s="5" t="s">
        <v>7</v>
      </c>
      <c r="D53" s="4"/>
    </row>
    <row r="54" spans="3:4" ht="14.5" thickBot="1" x14ac:dyDescent="0.35">
      <c r="C54" s="5" t="s">
        <v>8</v>
      </c>
      <c r="D54" s="4"/>
    </row>
    <row r="55" spans="3:4" ht="14.5" thickBot="1" x14ac:dyDescent="0.35">
      <c r="C55" s="15" t="s">
        <v>11</v>
      </c>
      <c r="D55" s="16">
        <f>SUM(D49:D54)</f>
        <v>75000</v>
      </c>
    </row>
    <row r="56" spans="3:4" ht="14.5" thickBot="1" x14ac:dyDescent="0.35">
      <c r="D56" s="9"/>
    </row>
    <row r="57" spans="3:4" x14ac:dyDescent="0.3">
      <c r="C57" s="7" t="s">
        <v>12</v>
      </c>
      <c r="D57" s="22" t="s">
        <v>96</v>
      </c>
    </row>
    <row r="58" spans="3:4" x14ac:dyDescent="0.3">
      <c r="C58" s="5" t="s">
        <v>4</v>
      </c>
      <c r="D58" s="4">
        <v>1772</v>
      </c>
    </row>
    <row r="59" spans="3:4" x14ac:dyDescent="0.3">
      <c r="C59" s="5" t="s">
        <v>5</v>
      </c>
      <c r="D59" s="4"/>
    </row>
    <row r="60" spans="3:4" ht="14.5" thickBot="1" x14ac:dyDescent="0.35">
      <c r="C60" s="5" t="s">
        <v>6</v>
      </c>
      <c r="D60" s="4"/>
    </row>
    <row r="61" spans="3:4" ht="14.5" thickBot="1" x14ac:dyDescent="0.35">
      <c r="C61" s="15" t="s">
        <v>11</v>
      </c>
      <c r="D61" s="16">
        <f>SUM(D57:D60)</f>
        <v>1772</v>
      </c>
    </row>
    <row r="62" spans="3:4" ht="14.5" thickBot="1" x14ac:dyDescent="0.35">
      <c r="C62" s="18"/>
      <c r="D62" s="9"/>
    </row>
    <row r="63" spans="3:4" x14ac:dyDescent="0.3">
      <c r="C63" s="7" t="s">
        <v>12</v>
      </c>
      <c r="D63" s="22" t="s">
        <v>26</v>
      </c>
    </row>
    <row r="64" spans="3:4" x14ac:dyDescent="0.3">
      <c r="C64" s="5" t="s">
        <v>4</v>
      </c>
      <c r="D64" s="4">
        <v>100000</v>
      </c>
    </row>
    <row r="65" spans="3:4" x14ac:dyDescent="0.3">
      <c r="C65" s="5" t="s">
        <v>5</v>
      </c>
      <c r="D65" s="4"/>
    </row>
    <row r="66" spans="3:4" x14ac:dyDescent="0.3">
      <c r="C66" s="5" t="s">
        <v>6</v>
      </c>
      <c r="D66" s="4"/>
    </row>
    <row r="67" spans="3:4" x14ac:dyDescent="0.3">
      <c r="C67" s="5" t="s">
        <v>7</v>
      </c>
      <c r="D67" s="4"/>
    </row>
    <row r="68" spans="3:4" x14ac:dyDescent="0.3">
      <c r="C68" s="5" t="s">
        <v>8</v>
      </c>
      <c r="D68" s="4"/>
    </row>
    <row r="69" spans="3:4" x14ac:dyDescent="0.3">
      <c r="C69" s="5" t="s">
        <v>9</v>
      </c>
      <c r="D69" s="4"/>
    </row>
    <row r="70" spans="3:4" ht="14.5" thickBot="1" x14ac:dyDescent="0.35">
      <c r="C70" s="5" t="s">
        <v>10</v>
      </c>
      <c r="D70" s="4"/>
    </row>
    <row r="71" spans="3:4" ht="14.5" thickBot="1" x14ac:dyDescent="0.35">
      <c r="C71" s="15" t="s">
        <v>11</v>
      </c>
      <c r="D71" s="31">
        <f>SUM(D64:D70)</f>
        <v>100000</v>
      </c>
    </row>
    <row r="72" spans="3:4" ht="14.5" thickBot="1" x14ac:dyDescent="0.35">
      <c r="D72" s="9"/>
    </row>
    <row r="73" spans="3:4" x14ac:dyDescent="0.3">
      <c r="C73" s="7" t="s">
        <v>12</v>
      </c>
      <c r="D73" s="22" t="s">
        <v>27</v>
      </c>
    </row>
    <row r="74" spans="3:4" x14ac:dyDescent="0.3">
      <c r="C74" s="5" t="s">
        <v>4</v>
      </c>
      <c r="D74" s="4">
        <v>5516</v>
      </c>
    </row>
    <row r="75" spans="3:4" x14ac:dyDescent="0.3">
      <c r="C75" s="5" t="s">
        <v>5</v>
      </c>
      <c r="D75" s="4"/>
    </row>
    <row r="76" spans="3:4" x14ac:dyDescent="0.3">
      <c r="C76" s="5" t="s">
        <v>6</v>
      </c>
      <c r="D76" s="4"/>
    </row>
    <row r="77" spans="3:4" ht="14.5" thickBot="1" x14ac:dyDescent="0.35">
      <c r="C77" s="6" t="s">
        <v>7</v>
      </c>
      <c r="D77" s="23"/>
    </row>
    <row r="78" spans="3:4" ht="14.5" thickBot="1" x14ac:dyDescent="0.35">
      <c r="C78" s="5" t="s">
        <v>8</v>
      </c>
      <c r="D78" s="31"/>
    </row>
    <row r="79" spans="3:4" ht="14.5" thickBot="1" x14ac:dyDescent="0.35">
      <c r="C79" s="5" t="s">
        <v>9</v>
      </c>
      <c r="D79" s="31"/>
    </row>
    <row r="80" spans="3:4" ht="14.5" thickBot="1" x14ac:dyDescent="0.35">
      <c r="C80" s="5" t="s">
        <v>10</v>
      </c>
      <c r="D80" s="31"/>
    </row>
    <row r="81" spans="3:5" ht="14.5" thickBot="1" x14ac:dyDescent="0.35">
      <c r="C81" s="15" t="s">
        <v>11</v>
      </c>
      <c r="D81" s="16">
        <f>SUM(D73:D80)</f>
        <v>5516</v>
      </c>
    </row>
    <row r="82" spans="3:5" ht="14.5" thickBot="1" x14ac:dyDescent="0.35">
      <c r="C82" s="18"/>
      <c r="D82" s="9"/>
    </row>
    <row r="83" spans="3:5" x14ac:dyDescent="0.3">
      <c r="C83" s="7" t="s">
        <v>12</v>
      </c>
      <c r="D83" s="22" t="s">
        <v>77</v>
      </c>
    </row>
    <row r="84" spans="3:5" x14ac:dyDescent="0.3">
      <c r="C84" s="5" t="s">
        <v>4</v>
      </c>
      <c r="D84" s="4"/>
    </row>
    <row r="85" spans="3:5" x14ac:dyDescent="0.3">
      <c r="C85" s="5" t="s">
        <v>5</v>
      </c>
      <c r="D85" s="4"/>
    </row>
    <row r="86" spans="3:5" x14ac:dyDescent="0.3">
      <c r="C86" s="5" t="s">
        <v>6</v>
      </c>
      <c r="D86" s="4"/>
    </row>
    <row r="87" spans="3:5" ht="14.5" thickBot="1" x14ac:dyDescent="0.35">
      <c r="C87" s="6" t="s">
        <v>7</v>
      </c>
      <c r="D87" s="23"/>
    </row>
    <row r="88" spans="3:5" ht="14.5" thickBot="1" x14ac:dyDescent="0.35">
      <c r="C88" s="15" t="s">
        <v>11</v>
      </c>
      <c r="D88" s="16">
        <f>SUM(D83:D87)</f>
        <v>0</v>
      </c>
    </row>
    <row r="89" spans="3:5" ht="14.5" thickBot="1" x14ac:dyDescent="0.35">
      <c r="D89" s="9"/>
      <c r="E89" s="9"/>
    </row>
    <row r="90" spans="3:5" x14ac:dyDescent="0.3">
      <c r="C90" s="7" t="s">
        <v>12</v>
      </c>
      <c r="D90" s="22" t="s">
        <v>34</v>
      </c>
      <c r="E90" s="61" t="s">
        <v>79</v>
      </c>
    </row>
    <row r="91" spans="3:5" x14ac:dyDescent="0.3">
      <c r="C91" s="5" t="s">
        <v>4</v>
      </c>
      <c r="D91" s="4"/>
      <c r="E91" s="12"/>
    </row>
    <row r="92" spans="3:5" x14ac:dyDescent="0.3">
      <c r="C92" s="5" t="s">
        <v>5</v>
      </c>
      <c r="D92" s="4"/>
      <c r="E92" s="12"/>
    </row>
    <row r="93" spans="3:5" x14ac:dyDescent="0.3">
      <c r="C93" s="5" t="s">
        <v>6</v>
      </c>
      <c r="D93" s="4"/>
      <c r="E93" s="12"/>
    </row>
    <row r="94" spans="3:5" x14ac:dyDescent="0.3">
      <c r="C94" s="5" t="s">
        <v>7</v>
      </c>
      <c r="D94" s="10"/>
      <c r="E94" s="12"/>
    </row>
    <row r="95" spans="3:5" x14ac:dyDescent="0.3">
      <c r="C95" s="5" t="s">
        <v>8</v>
      </c>
      <c r="D95" s="10"/>
      <c r="E95" s="12"/>
    </row>
    <row r="96" spans="3:5" x14ac:dyDescent="0.3">
      <c r="C96" s="5" t="s">
        <v>9</v>
      </c>
      <c r="D96" s="10"/>
      <c r="E96" s="12"/>
    </row>
    <row r="97" spans="3:5" ht="14.5" thickBot="1" x14ac:dyDescent="0.35">
      <c r="C97" s="5" t="s">
        <v>10</v>
      </c>
      <c r="D97" s="10"/>
      <c r="E97" s="12"/>
    </row>
    <row r="98" spans="3:5" ht="14.5" thickBot="1" x14ac:dyDescent="0.35">
      <c r="C98" s="15" t="s">
        <v>11</v>
      </c>
      <c r="D98" s="16">
        <f>SUM(D90:D97)</f>
        <v>0</v>
      </c>
    </row>
    <row r="99" spans="3:5" ht="14.5" thickBot="1" x14ac:dyDescent="0.35">
      <c r="C99" s="18"/>
      <c r="D99" s="9"/>
    </row>
    <row r="100" spans="3:5" x14ac:dyDescent="0.3">
      <c r="C100" s="42" t="s">
        <v>24</v>
      </c>
      <c r="D100" s="20">
        <f>D81+D71+D61+D55+D47+D88+D98</f>
        <v>222288</v>
      </c>
    </row>
    <row r="101" spans="3:5" ht="14.5" thickBot="1" x14ac:dyDescent="0.35">
      <c r="C101" s="43"/>
      <c r="D101" s="24"/>
    </row>
    <row r="102" spans="3:5" ht="14.5" thickBot="1" x14ac:dyDescent="0.35"/>
    <row r="103" spans="3:5" ht="14.5" thickBot="1" x14ac:dyDescent="0.35">
      <c r="C103" s="46" t="s">
        <v>29</v>
      </c>
      <c r="D103" s="47">
        <f>D21-D47-D55-D61-D71-D81-D88-D98</f>
        <v>167712</v>
      </c>
    </row>
    <row r="104" spans="3:5" ht="14.5" thickBot="1" x14ac:dyDescent="0.35">
      <c r="C104" s="53">
        <v>0.5</v>
      </c>
      <c r="D104" s="48">
        <f>D103*0.5</f>
        <v>83856</v>
      </c>
    </row>
    <row r="105" spans="3:5" ht="14.5" thickBot="1" x14ac:dyDescent="0.35">
      <c r="C105" s="54"/>
      <c r="D105" s="55"/>
    </row>
  </sheetData>
  <mergeCells count="2">
    <mergeCell ref="C4:E4"/>
    <mergeCell ref="D6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47FC-4B44-42A6-83D2-B86E213D1E78}">
  <dimension ref="C3:F105"/>
  <sheetViews>
    <sheetView rightToLeft="1" topLeftCell="A87" workbookViewId="0">
      <selection activeCell="D110" sqref="D110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  <col min="6" max="6" width="17.75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74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65</v>
      </c>
      <c r="E10" s="30" t="s">
        <v>31</v>
      </c>
    </row>
    <row r="11" spans="3:6" x14ac:dyDescent="0.3">
      <c r="C11" s="32" t="s">
        <v>3</v>
      </c>
      <c r="D11" s="33"/>
      <c r="E11" s="34"/>
    </row>
    <row r="12" spans="3:6" x14ac:dyDescent="0.3">
      <c r="C12" s="5" t="s">
        <v>4</v>
      </c>
      <c r="D12" s="4">
        <v>470000</v>
      </c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x14ac:dyDescent="0.3">
      <c r="C17" s="5" t="s">
        <v>9</v>
      </c>
      <c r="D17" s="4"/>
      <c r="E17" s="52"/>
    </row>
    <row r="18" spans="3:6" x14ac:dyDescent="0.3">
      <c r="C18" s="5" t="s">
        <v>10</v>
      </c>
      <c r="D18" s="4"/>
      <c r="E18" s="52"/>
    </row>
    <row r="19" spans="3:6" x14ac:dyDescent="0.3">
      <c r="C19" s="5" t="s">
        <v>66</v>
      </c>
      <c r="D19" s="4"/>
      <c r="E19" s="52"/>
    </row>
    <row r="20" spans="3:6" x14ac:dyDescent="0.3">
      <c r="C20" s="5" t="s">
        <v>67</v>
      </c>
      <c r="D20" s="4"/>
      <c r="E20" s="52"/>
    </row>
    <row r="21" spans="3:6" ht="14.5" thickBot="1" x14ac:dyDescent="0.35">
      <c r="C21" s="39" t="s">
        <v>11</v>
      </c>
      <c r="D21" s="60">
        <f>SUM(D11:D20)</f>
        <v>470000</v>
      </c>
      <c r="E21" s="40"/>
    </row>
    <row r="22" spans="3:6" ht="14.5" thickBot="1" x14ac:dyDescent="0.35">
      <c r="C22" s="37" t="s">
        <v>23</v>
      </c>
      <c r="D22" s="41">
        <f>D11-D21</f>
        <v>-470000</v>
      </c>
      <c r="E22" s="38"/>
    </row>
    <row r="23" spans="3:6" x14ac:dyDescent="0.3">
      <c r="D23" s="9"/>
      <c r="E23" s="9"/>
    </row>
    <row r="24" spans="3:6" ht="20" x14ac:dyDescent="0.4">
      <c r="C24" s="2" t="s">
        <v>16</v>
      </c>
      <c r="D24" s="9"/>
      <c r="E24" s="9"/>
    </row>
    <row r="25" spans="3:6" ht="14.5" thickBot="1" x14ac:dyDescent="0.35">
      <c r="D25" s="9"/>
      <c r="E25" s="9"/>
    </row>
    <row r="26" spans="3:6" ht="14.5" thickBot="1" x14ac:dyDescent="0.35">
      <c r="C26" s="28" t="s">
        <v>18</v>
      </c>
      <c r="D26" s="29" t="s">
        <v>21</v>
      </c>
      <c r="E26" s="29" t="s">
        <v>22</v>
      </c>
      <c r="F26" s="30" t="s">
        <v>19</v>
      </c>
    </row>
    <row r="27" spans="3:6" x14ac:dyDescent="0.3">
      <c r="C27" s="26"/>
      <c r="D27" s="19"/>
      <c r="E27" s="19"/>
      <c r="F27" s="27"/>
    </row>
    <row r="28" spans="3:6" x14ac:dyDescent="0.3">
      <c r="C28" s="26"/>
      <c r="D28" s="19"/>
      <c r="E28" s="19"/>
      <c r="F28" s="27"/>
    </row>
    <row r="29" spans="3:6" x14ac:dyDescent="0.3">
      <c r="C29" s="26"/>
      <c r="D29" s="19"/>
      <c r="E29" s="19"/>
      <c r="F29" s="27"/>
    </row>
    <row r="30" spans="3:6" x14ac:dyDescent="0.3">
      <c r="C30" s="26"/>
      <c r="D30" s="19"/>
      <c r="E30" s="19"/>
      <c r="F30" s="27"/>
    </row>
    <row r="31" spans="3:6" x14ac:dyDescent="0.3">
      <c r="C31" s="49"/>
      <c r="D31" s="19"/>
      <c r="E31" s="4"/>
      <c r="F31" s="21"/>
    </row>
    <row r="32" spans="3:6" x14ac:dyDescent="0.3">
      <c r="C32" s="49"/>
      <c r="D32" s="19"/>
      <c r="E32" s="4"/>
      <c r="F32" s="21"/>
    </row>
    <row r="33" spans="3:6" ht="14.5" thickBot="1" x14ac:dyDescent="0.35">
      <c r="C33" s="50"/>
      <c r="D33" s="10"/>
      <c r="E33" s="10"/>
      <c r="F33" s="51"/>
    </row>
    <row r="34" spans="3:6" ht="14.5" thickBot="1" x14ac:dyDescent="0.35">
      <c r="C34" s="25" t="s">
        <v>20</v>
      </c>
      <c r="D34" s="16"/>
      <c r="E34" s="16"/>
      <c r="F34" s="17"/>
    </row>
    <row r="35" spans="3:6" x14ac:dyDescent="0.3">
      <c r="D35" s="9"/>
      <c r="E35" s="9"/>
    </row>
    <row r="36" spans="3:6" x14ac:dyDescent="0.3">
      <c r="C36" s="44" t="s">
        <v>25</v>
      </c>
      <c r="D36" s="45"/>
      <c r="E36" s="9"/>
    </row>
    <row r="37" spans="3:6" x14ac:dyDescent="0.3">
      <c r="C37" s="44"/>
      <c r="D37" s="44"/>
      <c r="E37" s="9"/>
    </row>
    <row r="38" spans="3:6" x14ac:dyDescent="0.3">
      <c r="D38" s="9"/>
      <c r="E38" s="9"/>
    </row>
    <row r="39" spans="3:6" ht="23" x14ac:dyDescent="0.5">
      <c r="C39" s="3" t="s">
        <v>2</v>
      </c>
      <c r="D39" s="11"/>
      <c r="E39" s="11"/>
    </row>
    <row r="40" spans="3:6" ht="14.5" thickBot="1" x14ac:dyDescent="0.35">
      <c r="D40" s="9"/>
      <c r="E40" s="9"/>
    </row>
    <row r="41" spans="3:6" ht="14.5" thickBot="1" x14ac:dyDescent="0.35">
      <c r="C41" s="35" t="s">
        <v>12</v>
      </c>
      <c r="D41" s="36" t="s">
        <v>81</v>
      </c>
    </row>
    <row r="42" spans="3:6" x14ac:dyDescent="0.3">
      <c r="C42" s="5" t="s">
        <v>4</v>
      </c>
      <c r="D42" s="19">
        <v>40000</v>
      </c>
    </row>
    <row r="43" spans="3:6" x14ac:dyDescent="0.3">
      <c r="C43" s="5" t="s">
        <v>5</v>
      </c>
      <c r="D43" s="4">
        <v>13000</v>
      </c>
    </row>
    <row r="44" spans="3:6" x14ac:dyDescent="0.3">
      <c r="C44" s="5" t="s">
        <v>6</v>
      </c>
      <c r="D44" s="4">
        <v>65000</v>
      </c>
    </row>
    <row r="45" spans="3:6" x14ac:dyDescent="0.3">
      <c r="C45" s="5" t="s">
        <v>7</v>
      </c>
      <c r="D45" s="4"/>
    </row>
    <row r="46" spans="3:6" ht="14.5" thickBot="1" x14ac:dyDescent="0.35">
      <c r="C46" s="5" t="s">
        <v>8</v>
      </c>
      <c r="D46" s="4"/>
    </row>
    <row r="47" spans="3:6" ht="14.5" thickBot="1" x14ac:dyDescent="0.35">
      <c r="C47" s="15" t="s">
        <v>11</v>
      </c>
      <c r="D47" s="16">
        <f>SUM(D41:D46)</f>
        <v>118000</v>
      </c>
    </row>
    <row r="48" spans="3:6" ht="14.5" thickBot="1" x14ac:dyDescent="0.35">
      <c r="D48" s="9"/>
    </row>
    <row r="49" spans="3:4" x14ac:dyDescent="0.3">
      <c r="C49" s="7" t="s">
        <v>12</v>
      </c>
      <c r="D49" s="22" t="s">
        <v>71</v>
      </c>
    </row>
    <row r="50" spans="3:4" x14ac:dyDescent="0.3">
      <c r="C50" s="5" t="s">
        <v>4</v>
      </c>
      <c r="D50" s="4">
        <v>73000</v>
      </c>
    </row>
    <row r="51" spans="3:4" x14ac:dyDescent="0.3">
      <c r="C51" s="5" t="s">
        <v>5</v>
      </c>
      <c r="D51" s="4"/>
    </row>
    <row r="52" spans="3:4" x14ac:dyDescent="0.3">
      <c r="C52" s="5" t="s">
        <v>6</v>
      </c>
      <c r="D52" s="4"/>
    </row>
    <row r="53" spans="3:4" x14ac:dyDescent="0.3">
      <c r="C53" s="5" t="s">
        <v>7</v>
      </c>
      <c r="D53" s="4"/>
    </row>
    <row r="54" spans="3:4" ht="14.5" thickBot="1" x14ac:dyDescent="0.35">
      <c r="C54" s="5" t="s">
        <v>8</v>
      </c>
      <c r="D54" s="4"/>
    </row>
    <row r="55" spans="3:4" ht="14.5" thickBot="1" x14ac:dyDescent="0.35">
      <c r="C55" s="15" t="s">
        <v>11</v>
      </c>
      <c r="D55" s="16">
        <f>SUM(D49:D54)</f>
        <v>73000</v>
      </c>
    </row>
    <row r="56" spans="3:4" ht="14.5" thickBot="1" x14ac:dyDescent="0.35">
      <c r="D56" s="9"/>
    </row>
    <row r="57" spans="3:4" x14ac:dyDescent="0.3">
      <c r="C57" s="7" t="s">
        <v>12</v>
      </c>
      <c r="D57" s="22"/>
    </row>
    <row r="58" spans="3:4" x14ac:dyDescent="0.3">
      <c r="C58" s="5" t="s">
        <v>4</v>
      </c>
      <c r="D58" s="4"/>
    </row>
    <row r="59" spans="3:4" x14ac:dyDescent="0.3">
      <c r="C59" s="5" t="s">
        <v>5</v>
      </c>
      <c r="D59" s="4"/>
    </row>
    <row r="60" spans="3:4" ht="14.5" thickBot="1" x14ac:dyDescent="0.35">
      <c r="C60" s="5" t="s">
        <v>6</v>
      </c>
      <c r="D60" s="4"/>
    </row>
    <row r="61" spans="3:4" ht="14.5" thickBot="1" x14ac:dyDescent="0.35">
      <c r="C61" s="15" t="s">
        <v>11</v>
      </c>
      <c r="D61" s="16">
        <f>SUM(D57:D60)</f>
        <v>0</v>
      </c>
    </row>
    <row r="62" spans="3:4" ht="14.5" thickBot="1" x14ac:dyDescent="0.35">
      <c r="C62" s="18"/>
      <c r="D62" s="9"/>
    </row>
    <row r="63" spans="3:4" x14ac:dyDescent="0.3">
      <c r="C63" s="7" t="s">
        <v>12</v>
      </c>
      <c r="D63" s="22" t="s">
        <v>26</v>
      </c>
    </row>
    <row r="64" spans="3:4" x14ac:dyDescent="0.3">
      <c r="C64" s="5" t="s">
        <v>4</v>
      </c>
      <c r="D64" s="4">
        <v>75000</v>
      </c>
    </row>
    <row r="65" spans="3:4" x14ac:dyDescent="0.3">
      <c r="C65" s="5" t="s">
        <v>5</v>
      </c>
      <c r="D65" s="4"/>
    </row>
    <row r="66" spans="3:4" x14ac:dyDescent="0.3">
      <c r="C66" s="5" t="s">
        <v>6</v>
      </c>
      <c r="D66" s="4"/>
    </row>
    <row r="67" spans="3:4" x14ac:dyDescent="0.3">
      <c r="C67" s="5" t="s">
        <v>7</v>
      </c>
      <c r="D67" s="4"/>
    </row>
    <row r="68" spans="3:4" x14ac:dyDescent="0.3">
      <c r="C68" s="5" t="s">
        <v>8</v>
      </c>
      <c r="D68" s="4"/>
    </row>
    <row r="69" spans="3:4" x14ac:dyDescent="0.3">
      <c r="C69" s="5" t="s">
        <v>9</v>
      </c>
      <c r="D69" s="4"/>
    </row>
    <row r="70" spans="3:4" ht="14.5" thickBot="1" x14ac:dyDescent="0.35">
      <c r="C70" s="5" t="s">
        <v>10</v>
      </c>
      <c r="D70" s="4"/>
    </row>
    <row r="71" spans="3:4" ht="14.5" thickBot="1" x14ac:dyDescent="0.35">
      <c r="C71" s="15" t="s">
        <v>11</v>
      </c>
      <c r="D71" s="31">
        <f>SUM(D64:D70)</f>
        <v>75000</v>
      </c>
    </row>
    <row r="72" spans="3:4" ht="14.5" thickBot="1" x14ac:dyDescent="0.35">
      <c r="D72" s="9"/>
    </row>
    <row r="73" spans="3:4" x14ac:dyDescent="0.3">
      <c r="C73" s="7" t="s">
        <v>12</v>
      </c>
      <c r="D73" s="22" t="s">
        <v>27</v>
      </c>
    </row>
    <row r="74" spans="3:4" x14ac:dyDescent="0.3">
      <c r="C74" s="5" t="s">
        <v>4</v>
      </c>
      <c r="D74" s="4">
        <v>15000</v>
      </c>
    </row>
    <row r="75" spans="3:4" x14ac:dyDescent="0.3">
      <c r="C75" s="5" t="s">
        <v>5</v>
      </c>
      <c r="D75" s="4"/>
    </row>
    <row r="76" spans="3:4" x14ac:dyDescent="0.3">
      <c r="C76" s="5" t="s">
        <v>6</v>
      </c>
      <c r="D76" s="4"/>
    </row>
    <row r="77" spans="3:4" ht="14.5" thickBot="1" x14ac:dyDescent="0.35">
      <c r="C77" s="6" t="s">
        <v>7</v>
      </c>
      <c r="D77" s="23"/>
    </row>
    <row r="78" spans="3:4" ht="14.5" thickBot="1" x14ac:dyDescent="0.35">
      <c r="C78" s="5" t="s">
        <v>8</v>
      </c>
      <c r="D78" s="31"/>
    </row>
    <row r="79" spans="3:4" ht="14.5" thickBot="1" x14ac:dyDescent="0.35">
      <c r="C79" s="5" t="s">
        <v>9</v>
      </c>
      <c r="D79" s="31"/>
    </row>
    <row r="80" spans="3:4" ht="14.5" thickBot="1" x14ac:dyDescent="0.35">
      <c r="C80" s="5" t="s">
        <v>10</v>
      </c>
      <c r="D80" s="31"/>
    </row>
    <row r="81" spans="3:5" ht="14.5" thickBot="1" x14ac:dyDescent="0.35">
      <c r="C81" s="15" t="s">
        <v>11</v>
      </c>
      <c r="D81" s="16">
        <f>SUM(D73:D80)</f>
        <v>15000</v>
      </c>
    </row>
    <row r="82" spans="3:5" ht="14.5" thickBot="1" x14ac:dyDescent="0.35">
      <c r="C82" s="18"/>
      <c r="D82" s="9"/>
    </row>
    <row r="83" spans="3:5" x14ac:dyDescent="0.3">
      <c r="C83" s="7" t="s">
        <v>12</v>
      </c>
      <c r="D83" s="22" t="s">
        <v>77</v>
      </c>
    </row>
    <row r="84" spans="3:5" x14ac:dyDescent="0.3">
      <c r="C84" s="5" t="s">
        <v>4</v>
      </c>
      <c r="D84" s="4">
        <v>3400</v>
      </c>
    </row>
    <row r="85" spans="3:5" x14ac:dyDescent="0.3">
      <c r="C85" s="5" t="s">
        <v>5</v>
      </c>
      <c r="D85" s="4"/>
    </row>
    <row r="86" spans="3:5" x14ac:dyDescent="0.3">
      <c r="C86" s="5" t="s">
        <v>6</v>
      </c>
      <c r="D86" s="4"/>
    </row>
    <row r="87" spans="3:5" ht="14.5" thickBot="1" x14ac:dyDescent="0.35">
      <c r="C87" s="6" t="s">
        <v>7</v>
      </c>
      <c r="D87" s="23"/>
    </row>
    <row r="88" spans="3:5" ht="14.5" thickBot="1" x14ac:dyDescent="0.35">
      <c r="C88" s="15" t="s">
        <v>11</v>
      </c>
      <c r="D88" s="16">
        <f>SUM(D83:D87)</f>
        <v>3400</v>
      </c>
    </row>
    <row r="89" spans="3:5" ht="14.5" thickBot="1" x14ac:dyDescent="0.35">
      <c r="D89" s="9"/>
      <c r="E89" s="9"/>
    </row>
    <row r="90" spans="3:5" x14ac:dyDescent="0.3">
      <c r="C90" s="7" t="s">
        <v>12</v>
      </c>
      <c r="D90" s="22" t="s">
        <v>34</v>
      </c>
      <c r="E90" s="61" t="s">
        <v>79</v>
      </c>
    </row>
    <row r="91" spans="3:5" x14ac:dyDescent="0.3">
      <c r="C91" s="5" t="s">
        <v>4</v>
      </c>
      <c r="D91" s="4">
        <v>5800</v>
      </c>
      <c r="E91" s="12" t="s">
        <v>78</v>
      </c>
    </row>
    <row r="92" spans="3:5" x14ac:dyDescent="0.3">
      <c r="C92" s="5" t="s">
        <v>5</v>
      </c>
      <c r="D92" s="4">
        <v>9000</v>
      </c>
      <c r="E92" s="12" t="s">
        <v>80</v>
      </c>
    </row>
    <row r="93" spans="3:5" x14ac:dyDescent="0.3">
      <c r="C93" s="5" t="s">
        <v>6</v>
      </c>
      <c r="D93" s="4"/>
      <c r="E93" s="12"/>
    </row>
    <row r="94" spans="3:5" x14ac:dyDescent="0.3">
      <c r="C94" s="5" t="s">
        <v>7</v>
      </c>
      <c r="D94" s="10"/>
      <c r="E94" s="12"/>
    </row>
    <row r="95" spans="3:5" x14ac:dyDescent="0.3">
      <c r="C95" s="5" t="s">
        <v>8</v>
      </c>
      <c r="D95" s="10"/>
      <c r="E95" s="12"/>
    </row>
    <row r="96" spans="3:5" x14ac:dyDescent="0.3">
      <c r="C96" s="5" t="s">
        <v>9</v>
      </c>
      <c r="D96" s="10"/>
      <c r="E96" s="12"/>
    </row>
    <row r="97" spans="3:5" ht="14.5" thickBot="1" x14ac:dyDescent="0.35">
      <c r="C97" s="5" t="s">
        <v>10</v>
      </c>
      <c r="D97" s="10"/>
      <c r="E97" s="12"/>
    </row>
    <row r="98" spans="3:5" ht="14.5" thickBot="1" x14ac:dyDescent="0.35">
      <c r="C98" s="15" t="s">
        <v>11</v>
      </c>
      <c r="D98" s="16">
        <f>SUM(D90:D97)</f>
        <v>14800</v>
      </c>
    </row>
    <row r="99" spans="3:5" ht="14.5" thickBot="1" x14ac:dyDescent="0.35">
      <c r="C99" s="18"/>
      <c r="D99" s="9"/>
    </row>
    <row r="100" spans="3:5" x14ac:dyDescent="0.3">
      <c r="C100" s="42" t="s">
        <v>24</v>
      </c>
      <c r="D100" s="20">
        <f>D81+D71+D61+D55+D47+D88+D98</f>
        <v>299200</v>
      </c>
    </row>
    <row r="101" spans="3:5" ht="14.5" thickBot="1" x14ac:dyDescent="0.35">
      <c r="C101" s="43"/>
      <c r="D101" s="24"/>
    </row>
    <row r="102" spans="3:5" ht="14.5" thickBot="1" x14ac:dyDescent="0.35"/>
    <row r="103" spans="3:5" ht="14.5" thickBot="1" x14ac:dyDescent="0.35">
      <c r="C103" s="46" t="s">
        <v>29</v>
      </c>
      <c r="D103" s="47">
        <f>D21-D47-D55-D61-D71-D81-D88-D98</f>
        <v>170800</v>
      </c>
    </row>
    <row r="104" spans="3:5" ht="14.5" thickBot="1" x14ac:dyDescent="0.35">
      <c r="C104" s="53">
        <v>0.5</v>
      </c>
      <c r="D104" s="48">
        <f>D103*0.5</f>
        <v>85400</v>
      </c>
    </row>
    <row r="105" spans="3:5" ht="14.5" thickBot="1" x14ac:dyDescent="0.35">
      <c r="C105" s="54"/>
      <c r="D105" s="55"/>
    </row>
  </sheetData>
  <mergeCells count="2">
    <mergeCell ref="C4:E4"/>
    <mergeCell ref="D6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C2A6-121A-4861-9FC2-EAE82B717BD2}">
  <dimension ref="C2:F96"/>
  <sheetViews>
    <sheetView rightToLeft="1" topLeftCell="A53" workbookViewId="0">
      <selection activeCell="F76" sqref="F76"/>
    </sheetView>
  </sheetViews>
  <sheetFormatPr defaultRowHeight="14" x14ac:dyDescent="0.3"/>
  <cols>
    <col min="3" max="3" width="21.25" bestFit="1" customWidth="1"/>
    <col min="4" max="4" width="15.83203125" bestFit="1" customWidth="1"/>
    <col min="5" max="5" width="20.5" bestFit="1" customWidth="1"/>
  </cols>
  <sheetData>
    <row r="2" spans="3:6" x14ac:dyDescent="0.3">
      <c r="C2" t="s">
        <v>0</v>
      </c>
    </row>
    <row r="3" spans="3:6" ht="23" x14ac:dyDescent="0.3">
      <c r="C3" s="68" t="s">
        <v>14</v>
      </c>
      <c r="D3" s="68"/>
      <c r="E3" s="68"/>
      <c r="F3" s="8"/>
    </row>
    <row r="5" spans="3:6" ht="20" x14ac:dyDescent="0.4">
      <c r="C5" s="14" t="s">
        <v>15</v>
      </c>
      <c r="D5" s="69" t="s">
        <v>52</v>
      </c>
      <c r="E5" s="69"/>
    </row>
    <row r="6" spans="3:6" x14ac:dyDescent="0.3">
      <c r="D6" s="69"/>
      <c r="E6" s="69"/>
    </row>
    <row r="7" spans="3:6" ht="23" x14ac:dyDescent="0.5">
      <c r="C7" s="3" t="s">
        <v>1</v>
      </c>
      <c r="D7" s="1"/>
    </row>
    <row r="8" spans="3:6" ht="14.5" thickBot="1" x14ac:dyDescent="0.35"/>
    <row r="9" spans="3:6" ht="14.5" thickBot="1" x14ac:dyDescent="0.35">
      <c r="C9" s="15"/>
      <c r="D9" s="29" t="s">
        <v>54</v>
      </c>
      <c r="E9" s="30" t="s">
        <v>31</v>
      </c>
    </row>
    <row r="10" spans="3:6" x14ac:dyDescent="0.3">
      <c r="C10" s="32" t="s">
        <v>3</v>
      </c>
      <c r="D10" s="33">
        <v>220000</v>
      </c>
      <c r="E10" s="34"/>
    </row>
    <row r="11" spans="3:6" x14ac:dyDescent="0.3">
      <c r="C11" s="5" t="s">
        <v>4</v>
      </c>
      <c r="D11" s="9">
        <v>220000</v>
      </c>
      <c r="E11" s="52"/>
    </row>
    <row r="12" spans="3:6" x14ac:dyDescent="0.3">
      <c r="C12" s="5" t="s">
        <v>5</v>
      </c>
      <c r="D12" s="4"/>
      <c r="E12" s="52"/>
      <c r="F12" s="9"/>
    </row>
    <row r="13" spans="3:6" x14ac:dyDescent="0.3">
      <c r="C13" s="5" t="s">
        <v>6</v>
      </c>
      <c r="D13" s="4"/>
      <c r="E13" s="52"/>
    </row>
    <row r="14" spans="3:6" x14ac:dyDescent="0.3">
      <c r="C14" s="5" t="s">
        <v>7</v>
      </c>
      <c r="D14" s="4"/>
      <c r="E14" s="52"/>
    </row>
    <row r="15" spans="3:6" x14ac:dyDescent="0.3">
      <c r="C15" s="5" t="s">
        <v>8</v>
      </c>
      <c r="D15" s="4"/>
      <c r="E15" s="52"/>
    </row>
    <row r="16" spans="3:6" ht="14.5" thickBot="1" x14ac:dyDescent="0.35">
      <c r="C16" s="6" t="s">
        <v>17</v>
      </c>
      <c r="D16" s="31"/>
      <c r="E16" s="52"/>
    </row>
    <row r="17" spans="3:6" ht="14.5" thickBot="1" x14ac:dyDescent="0.35">
      <c r="C17" s="39" t="s">
        <v>11</v>
      </c>
      <c r="D17" s="41">
        <f>SUM(D11:D16)</f>
        <v>220000</v>
      </c>
      <c r="E17" s="40"/>
    </row>
    <row r="18" spans="3:6" ht="14.5" thickBot="1" x14ac:dyDescent="0.35">
      <c r="C18" s="37" t="s">
        <v>23</v>
      </c>
      <c r="D18" s="41">
        <f>D10-D17</f>
        <v>0</v>
      </c>
      <c r="E18" s="38"/>
    </row>
    <row r="19" spans="3:6" x14ac:dyDescent="0.3">
      <c r="D19" s="9"/>
      <c r="E19" s="9"/>
    </row>
    <row r="20" spans="3:6" ht="20" x14ac:dyDescent="0.4">
      <c r="C20" s="2" t="s">
        <v>16</v>
      </c>
      <c r="D20" s="9"/>
      <c r="E20" s="9"/>
    </row>
    <row r="21" spans="3:6" ht="14.5" thickBot="1" x14ac:dyDescent="0.35">
      <c r="D21" s="9"/>
      <c r="E21" s="9"/>
    </row>
    <row r="22" spans="3:6" ht="14.5" thickBot="1" x14ac:dyDescent="0.35">
      <c r="C22" s="28" t="s">
        <v>18</v>
      </c>
      <c r="D22" s="29" t="s">
        <v>21</v>
      </c>
      <c r="E22" s="29" t="s">
        <v>22</v>
      </c>
      <c r="F22" s="30" t="s">
        <v>19</v>
      </c>
    </row>
    <row r="23" spans="3:6" x14ac:dyDescent="0.3">
      <c r="C23" s="26"/>
      <c r="D23" s="19"/>
      <c r="E23" s="19"/>
      <c r="F23" s="27"/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49"/>
      <c r="D27" s="19"/>
      <c r="E27" s="4"/>
      <c r="F27" s="21"/>
    </row>
    <row r="28" spans="3:6" x14ac:dyDescent="0.3">
      <c r="C28" s="49"/>
      <c r="D28" s="19"/>
      <c r="E28" s="4"/>
      <c r="F28" s="21"/>
    </row>
    <row r="29" spans="3:6" ht="14.5" thickBot="1" x14ac:dyDescent="0.35">
      <c r="C29" s="50"/>
      <c r="D29" s="10"/>
      <c r="E29" s="10"/>
      <c r="F29" s="51"/>
    </row>
    <row r="30" spans="3:6" ht="14.5" thickBot="1" x14ac:dyDescent="0.35">
      <c r="C30" s="25" t="s">
        <v>20</v>
      </c>
      <c r="D30" s="16"/>
      <c r="E30" s="16"/>
      <c r="F30" s="17">
        <f>SUM(F23:F29)</f>
        <v>0</v>
      </c>
    </row>
    <row r="31" spans="3:6" x14ac:dyDescent="0.3">
      <c r="D31" s="9"/>
      <c r="E31" s="9"/>
    </row>
    <row r="32" spans="3:6" x14ac:dyDescent="0.3">
      <c r="C32" s="44" t="s">
        <v>25</v>
      </c>
      <c r="D32" s="45">
        <f>F30+D10</f>
        <v>220000</v>
      </c>
      <c r="E32" s="9"/>
    </row>
    <row r="33" spans="3:5" x14ac:dyDescent="0.3">
      <c r="C33" s="44"/>
      <c r="D33" s="44"/>
      <c r="E33" s="9"/>
    </row>
    <row r="34" spans="3:5" x14ac:dyDescent="0.3">
      <c r="D34" s="9"/>
      <c r="E34" s="9"/>
    </row>
    <row r="35" spans="3:5" ht="23" x14ac:dyDescent="0.5">
      <c r="C35" s="3" t="s">
        <v>2</v>
      </c>
      <c r="D35" s="11"/>
      <c r="E35" s="11"/>
    </row>
    <row r="36" spans="3:5" ht="14.5" thickBot="1" x14ac:dyDescent="0.35">
      <c r="D36" s="9"/>
      <c r="E36" s="9"/>
    </row>
    <row r="37" spans="3:5" ht="14.5" thickBot="1" x14ac:dyDescent="0.35">
      <c r="C37" s="35" t="s">
        <v>12</v>
      </c>
      <c r="D37" s="36" t="s">
        <v>35</v>
      </c>
    </row>
    <row r="38" spans="3:5" x14ac:dyDescent="0.3">
      <c r="C38" s="5" t="s">
        <v>4</v>
      </c>
      <c r="D38" s="19">
        <v>24000</v>
      </c>
    </row>
    <row r="39" spans="3:5" x14ac:dyDescent="0.3">
      <c r="C39" s="5" t="s">
        <v>5</v>
      </c>
      <c r="D39" s="4"/>
    </row>
    <row r="40" spans="3:5" x14ac:dyDescent="0.3">
      <c r="C40" s="5" t="s">
        <v>6</v>
      </c>
      <c r="D40" s="4"/>
    </row>
    <row r="41" spans="3:5" x14ac:dyDescent="0.3">
      <c r="C41" s="5" t="s">
        <v>7</v>
      </c>
      <c r="D41" s="4"/>
    </row>
    <row r="42" spans="3:5" ht="14.5" thickBot="1" x14ac:dyDescent="0.35">
      <c r="C42" s="5" t="s">
        <v>8</v>
      </c>
      <c r="D42" s="4"/>
    </row>
    <row r="43" spans="3:5" ht="14.5" thickBot="1" x14ac:dyDescent="0.35">
      <c r="C43" s="15" t="s">
        <v>11</v>
      </c>
      <c r="D43" s="16">
        <f>SUM(D37:D42)</f>
        <v>24000</v>
      </c>
    </row>
    <row r="44" spans="3:5" ht="14.5" thickBot="1" x14ac:dyDescent="0.35">
      <c r="D44" s="9"/>
    </row>
    <row r="45" spans="3:5" x14ac:dyDescent="0.3">
      <c r="C45" s="7" t="s">
        <v>12</v>
      </c>
      <c r="D45" s="22" t="s">
        <v>56</v>
      </c>
    </row>
    <row r="46" spans="3:5" x14ac:dyDescent="0.3">
      <c r="C46" s="5" t="s">
        <v>4</v>
      </c>
      <c r="D46" s="4">
        <v>37213</v>
      </c>
    </row>
    <row r="47" spans="3:5" x14ac:dyDescent="0.3">
      <c r="C47" s="5" t="s">
        <v>5</v>
      </c>
      <c r="D47" s="4">
        <v>960</v>
      </c>
    </row>
    <row r="48" spans="3:5" x14ac:dyDescent="0.3">
      <c r="C48" s="5" t="s">
        <v>6</v>
      </c>
      <c r="D48" s="4"/>
    </row>
    <row r="49" spans="3:4" x14ac:dyDescent="0.3">
      <c r="C49" s="5" t="s">
        <v>7</v>
      </c>
      <c r="D49" s="4"/>
    </row>
    <row r="50" spans="3:4" ht="14.5" thickBot="1" x14ac:dyDescent="0.35">
      <c r="C50" s="5" t="s">
        <v>8</v>
      </c>
      <c r="D50" s="4"/>
    </row>
    <row r="51" spans="3:4" ht="14.5" thickBot="1" x14ac:dyDescent="0.35">
      <c r="C51" s="15" t="s">
        <v>11</v>
      </c>
      <c r="D51" s="16">
        <f>SUM(D45:D50)</f>
        <v>38173</v>
      </c>
    </row>
    <row r="52" spans="3:4" ht="14.5" thickBot="1" x14ac:dyDescent="0.35">
      <c r="D52" s="9"/>
    </row>
    <row r="53" spans="3:4" x14ac:dyDescent="0.3">
      <c r="C53" s="7" t="s">
        <v>12</v>
      </c>
      <c r="D53" s="22"/>
    </row>
    <row r="54" spans="3:4" x14ac:dyDescent="0.3">
      <c r="C54" s="5" t="s">
        <v>4</v>
      </c>
      <c r="D54" s="4"/>
    </row>
    <row r="55" spans="3:4" x14ac:dyDescent="0.3">
      <c r="C55" s="5" t="s">
        <v>5</v>
      </c>
      <c r="D55" s="4"/>
    </row>
    <row r="56" spans="3:4" ht="14.5" thickBot="1" x14ac:dyDescent="0.35">
      <c r="C56" s="5" t="s">
        <v>6</v>
      </c>
      <c r="D56" s="4"/>
    </row>
    <row r="57" spans="3:4" ht="14.5" thickBot="1" x14ac:dyDescent="0.35">
      <c r="C57" s="15" t="s">
        <v>11</v>
      </c>
      <c r="D57" s="16">
        <f>SUM(D53:D56)</f>
        <v>0</v>
      </c>
    </row>
    <row r="58" spans="3:4" ht="14.5" thickBot="1" x14ac:dyDescent="0.35">
      <c r="C58" s="18"/>
      <c r="D58" s="9"/>
    </row>
    <row r="59" spans="3:4" x14ac:dyDescent="0.3">
      <c r="C59" s="7" t="s">
        <v>12</v>
      </c>
      <c r="D59" s="22" t="s">
        <v>26</v>
      </c>
    </row>
    <row r="60" spans="3:4" x14ac:dyDescent="0.3">
      <c r="C60" s="5" t="s">
        <v>4</v>
      </c>
      <c r="D60" s="4">
        <v>30000</v>
      </c>
    </row>
    <row r="61" spans="3:4" x14ac:dyDescent="0.3">
      <c r="C61" s="5" t="s">
        <v>5</v>
      </c>
      <c r="D61" s="4"/>
    </row>
    <row r="62" spans="3:4" x14ac:dyDescent="0.3">
      <c r="C62" s="5" t="s">
        <v>6</v>
      </c>
      <c r="D62" s="4"/>
    </row>
    <row r="63" spans="3:4" x14ac:dyDescent="0.3">
      <c r="C63" s="5" t="s">
        <v>7</v>
      </c>
      <c r="D63" s="4"/>
    </row>
    <row r="64" spans="3:4" ht="14.5" thickBot="1" x14ac:dyDescent="0.35">
      <c r="C64" s="5" t="s">
        <v>8</v>
      </c>
      <c r="D64" s="4"/>
    </row>
    <row r="65" spans="3:5" ht="14.5" thickBot="1" x14ac:dyDescent="0.35">
      <c r="C65" s="15" t="s">
        <v>11</v>
      </c>
      <c r="D65" s="16">
        <f>SUM(D59:D64)</f>
        <v>30000</v>
      </c>
    </row>
    <row r="66" spans="3:5" ht="14.5" thickBot="1" x14ac:dyDescent="0.35">
      <c r="D66" s="9"/>
    </row>
    <row r="67" spans="3:5" x14ac:dyDescent="0.3">
      <c r="C67" s="7" t="s">
        <v>12</v>
      </c>
      <c r="D67" s="22" t="s">
        <v>27</v>
      </c>
    </row>
    <row r="68" spans="3:5" x14ac:dyDescent="0.3">
      <c r="C68" s="5" t="s">
        <v>4</v>
      </c>
      <c r="D68" s="4">
        <v>1025</v>
      </c>
    </row>
    <row r="69" spans="3:5" x14ac:dyDescent="0.3">
      <c r="C69" s="5" t="s">
        <v>5</v>
      </c>
      <c r="D69" s="4">
        <v>195</v>
      </c>
    </row>
    <row r="70" spans="3:5" x14ac:dyDescent="0.3">
      <c r="C70" s="5" t="s">
        <v>6</v>
      </c>
      <c r="D70" s="4"/>
    </row>
    <row r="71" spans="3:5" ht="14.5" thickBot="1" x14ac:dyDescent="0.35">
      <c r="C71" s="6" t="s">
        <v>7</v>
      </c>
      <c r="D71" s="23"/>
    </row>
    <row r="72" spans="3:5" ht="14.5" thickBot="1" x14ac:dyDescent="0.35">
      <c r="C72" s="15" t="s">
        <v>11</v>
      </c>
      <c r="D72" s="16">
        <f>SUM(D67:D71)</f>
        <v>1220</v>
      </c>
    </row>
    <row r="73" spans="3:5" ht="14.5" thickBot="1" x14ac:dyDescent="0.35">
      <c r="C73" s="18"/>
      <c r="D73" s="9"/>
    </row>
    <row r="74" spans="3:5" x14ac:dyDescent="0.3">
      <c r="C74" s="7" t="s">
        <v>12</v>
      </c>
      <c r="D74" s="22" t="s">
        <v>30</v>
      </c>
    </row>
    <row r="75" spans="3:5" x14ac:dyDescent="0.3">
      <c r="C75" s="5" t="s">
        <v>4</v>
      </c>
      <c r="D75" s="4">
        <v>1200</v>
      </c>
    </row>
    <row r="76" spans="3:5" x14ac:dyDescent="0.3">
      <c r="C76" s="5" t="s">
        <v>5</v>
      </c>
      <c r="D76" s="4"/>
    </row>
    <row r="77" spans="3:5" x14ac:dyDescent="0.3">
      <c r="C77" s="5" t="s">
        <v>6</v>
      </c>
      <c r="D77" s="4"/>
    </row>
    <row r="78" spans="3:5" ht="14.5" thickBot="1" x14ac:dyDescent="0.35">
      <c r="C78" s="6" t="s">
        <v>7</v>
      </c>
      <c r="D78" s="23"/>
    </row>
    <row r="79" spans="3:5" ht="14.5" thickBot="1" x14ac:dyDescent="0.35">
      <c r="C79" s="15" t="s">
        <v>11</v>
      </c>
      <c r="D79" s="16">
        <f>SUM(D74:D78)</f>
        <v>1200</v>
      </c>
    </row>
    <row r="80" spans="3:5" ht="14.5" thickBot="1" x14ac:dyDescent="0.35">
      <c r="D80" s="9"/>
      <c r="E80" s="9"/>
    </row>
    <row r="81" spans="3:4" x14ac:dyDescent="0.3">
      <c r="C81" s="7" t="s">
        <v>12</v>
      </c>
      <c r="D81" s="22" t="s">
        <v>28</v>
      </c>
    </row>
    <row r="82" spans="3:4" x14ac:dyDescent="0.3">
      <c r="C82" s="5" t="s">
        <v>4</v>
      </c>
      <c r="D82" s="4"/>
    </row>
    <row r="83" spans="3:4" x14ac:dyDescent="0.3">
      <c r="C83" s="5" t="s">
        <v>5</v>
      </c>
      <c r="D83" s="12"/>
    </row>
    <row r="84" spans="3:4" x14ac:dyDescent="0.3">
      <c r="C84" s="5" t="s">
        <v>6</v>
      </c>
      <c r="D84" s="12"/>
    </row>
    <row r="85" spans="3:4" x14ac:dyDescent="0.3">
      <c r="C85" s="5" t="s">
        <v>7</v>
      </c>
      <c r="D85" s="13"/>
    </row>
    <row r="86" spans="3:4" x14ac:dyDescent="0.3">
      <c r="C86" s="5" t="s">
        <v>8</v>
      </c>
      <c r="D86" s="13"/>
    </row>
    <row r="87" spans="3:4" x14ac:dyDescent="0.3">
      <c r="C87" s="5" t="s">
        <v>9</v>
      </c>
      <c r="D87" s="13"/>
    </row>
    <row r="88" spans="3:4" ht="14.5" thickBot="1" x14ac:dyDescent="0.35">
      <c r="C88" s="5" t="s">
        <v>10</v>
      </c>
      <c r="D88" s="13"/>
    </row>
    <row r="89" spans="3:4" ht="14.5" thickBot="1" x14ac:dyDescent="0.35">
      <c r="C89" s="15" t="s">
        <v>11</v>
      </c>
      <c r="D89" s="16">
        <f>SUM(D81:D88)</f>
        <v>0</v>
      </c>
    </row>
    <row r="90" spans="3:4" ht="14.5" thickBot="1" x14ac:dyDescent="0.35">
      <c r="C90" s="18"/>
      <c r="D90" s="9"/>
    </row>
    <row r="91" spans="3:4" x14ac:dyDescent="0.3">
      <c r="C91" s="42" t="s">
        <v>24</v>
      </c>
      <c r="D91" s="20">
        <f>D89+D72+D65+D57+D51+D43+D79</f>
        <v>94593</v>
      </c>
    </row>
    <row r="92" spans="3:4" ht="14.5" thickBot="1" x14ac:dyDescent="0.35">
      <c r="C92" s="43"/>
      <c r="D92" s="24"/>
    </row>
    <row r="93" spans="3:4" ht="14.5" thickBot="1" x14ac:dyDescent="0.35"/>
    <row r="94" spans="3:4" ht="14.5" thickBot="1" x14ac:dyDescent="0.35">
      <c r="C94" s="46" t="s">
        <v>29</v>
      </c>
      <c r="D94" s="47">
        <f>D17-D91</f>
        <v>125407</v>
      </c>
    </row>
    <row r="95" spans="3:4" ht="14.5" thickBot="1" x14ac:dyDescent="0.35">
      <c r="C95" s="53">
        <v>0.5</v>
      </c>
      <c r="D95" s="48">
        <f>D94*0.5</f>
        <v>62703.5</v>
      </c>
    </row>
    <row r="96" spans="3:4" ht="14.5" thickBot="1" x14ac:dyDescent="0.35">
      <c r="C96" s="54"/>
      <c r="D96" s="55"/>
    </row>
  </sheetData>
  <mergeCells count="2">
    <mergeCell ref="C3:E3"/>
    <mergeCell ref="D5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CA2C-F7FC-4678-9BFF-A2B5D38DB0D1}">
  <dimension ref="C3:F105"/>
  <sheetViews>
    <sheetView rightToLeft="1" topLeftCell="A86" workbookViewId="0">
      <selection activeCell="D109" sqref="D109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  <col min="6" max="6" width="17.75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84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65</v>
      </c>
      <c r="E10" s="30" t="s">
        <v>31</v>
      </c>
    </row>
    <row r="11" spans="3:6" x14ac:dyDescent="0.3">
      <c r="C11" s="32" t="s">
        <v>3</v>
      </c>
      <c r="D11" s="33">
        <v>694500</v>
      </c>
      <c r="E11" s="34"/>
    </row>
    <row r="12" spans="3:6" x14ac:dyDescent="0.3">
      <c r="C12" s="5" t="s">
        <v>4</v>
      </c>
      <c r="D12" s="4"/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x14ac:dyDescent="0.3">
      <c r="C17" s="5" t="s">
        <v>9</v>
      </c>
      <c r="D17" s="4"/>
      <c r="E17" s="52"/>
    </row>
    <row r="18" spans="3:6" x14ac:dyDescent="0.3">
      <c r="C18" s="5" t="s">
        <v>10</v>
      </c>
      <c r="D18" s="4"/>
      <c r="E18" s="52"/>
    </row>
    <row r="19" spans="3:6" x14ac:dyDescent="0.3">
      <c r="C19" s="5" t="s">
        <v>66</v>
      </c>
      <c r="D19" s="4"/>
      <c r="E19" s="52"/>
    </row>
    <row r="20" spans="3:6" x14ac:dyDescent="0.3">
      <c r="C20" s="5" t="s">
        <v>67</v>
      </c>
      <c r="D20" s="4"/>
      <c r="E20" s="52"/>
    </row>
    <row r="21" spans="3:6" ht="14.5" thickBot="1" x14ac:dyDescent="0.35">
      <c r="C21" s="39" t="s">
        <v>11</v>
      </c>
      <c r="D21" s="60">
        <f>SUM(D11:D20)</f>
        <v>694500</v>
      </c>
      <c r="E21" s="40"/>
    </row>
    <row r="22" spans="3:6" ht="14.5" thickBot="1" x14ac:dyDescent="0.35">
      <c r="C22" s="37" t="s">
        <v>23</v>
      </c>
      <c r="D22" s="41">
        <f>D11-D21</f>
        <v>0</v>
      </c>
      <c r="E22" s="38"/>
    </row>
    <row r="23" spans="3:6" x14ac:dyDescent="0.3">
      <c r="D23" s="9"/>
      <c r="E23" s="9"/>
    </row>
    <row r="24" spans="3:6" ht="20" x14ac:dyDescent="0.4">
      <c r="C24" s="2" t="s">
        <v>16</v>
      </c>
      <c r="D24" s="9"/>
      <c r="E24" s="9"/>
    </row>
    <row r="25" spans="3:6" ht="14.5" thickBot="1" x14ac:dyDescent="0.35">
      <c r="D25" s="9"/>
      <c r="E25" s="9"/>
    </row>
    <row r="26" spans="3:6" ht="14.5" thickBot="1" x14ac:dyDescent="0.35">
      <c r="C26" s="28" t="s">
        <v>18</v>
      </c>
      <c r="D26" s="29" t="s">
        <v>21</v>
      </c>
      <c r="E26" s="29" t="s">
        <v>22</v>
      </c>
      <c r="F26" s="30" t="s">
        <v>19</v>
      </c>
    </row>
    <row r="27" spans="3:6" x14ac:dyDescent="0.3">
      <c r="C27" s="26"/>
      <c r="D27" s="19"/>
      <c r="E27" s="19"/>
      <c r="F27" s="27"/>
    </row>
    <row r="28" spans="3:6" x14ac:dyDescent="0.3">
      <c r="C28" s="26"/>
      <c r="D28" s="19"/>
      <c r="E28" s="19"/>
      <c r="F28" s="27"/>
    </row>
    <row r="29" spans="3:6" x14ac:dyDescent="0.3">
      <c r="C29" s="26"/>
      <c r="D29" s="19"/>
      <c r="E29" s="19"/>
      <c r="F29" s="27"/>
    </row>
    <row r="30" spans="3:6" x14ac:dyDescent="0.3">
      <c r="C30" s="26"/>
      <c r="D30" s="19"/>
      <c r="E30" s="19"/>
      <c r="F30" s="27"/>
    </row>
    <row r="31" spans="3:6" x14ac:dyDescent="0.3">
      <c r="C31" s="49"/>
      <c r="D31" s="19"/>
      <c r="E31" s="4"/>
      <c r="F31" s="21"/>
    </row>
    <row r="32" spans="3:6" x14ac:dyDescent="0.3">
      <c r="C32" s="49"/>
      <c r="D32" s="19"/>
      <c r="E32" s="4"/>
      <c r="F32" s="21"/>
    </row>
    <row r="33" spans="3:6" ht="14.5" thickBot="1" x14ac:dyDescent="0.35">
      <c r="C33" s="50"/>
      <c r="D33" s="10"/>
      <c r="E33" s="10"/>
      <c r="F33" s="51"/>
    </row>
    <row r="34" spans="3:6" ht="14.5" thickBot="1" x14ac:dyDescent="0.35">
      <c r="C34" s="25" t="s">
        <v>20</v>
      </c>
      <c r="D34" s="16"/>
      <c r="E34" s="16"/>
      <c r="F34" s="17">
        <v>1750000</v>
      </c>
    </row>
    <row r="35" spans="3:6" x14ac:dyDescent="0.3">
      <c r="D35" s="9"/>
      <c r="E35" s="9"/>
    </row>
    <row r="36" spans="3:6" x14ac:dyDescent="0.3">
      <c r="C36" s="44" t="s">
        <v>25</v>
      </c>
      <c r="D36" s="45"/>
      <c r="E36" s="9"/>
    </row>
    <row r="37" spans="3:6" x14ac:dyDescent="0.3">
      <c r="C37" s="44"/>
      <c r="D37" s="44"/>
      <c r="E37" s="9"/>
    </row>
    <row r="38" spans="3:6" x14ac:dyDescent="0.3">
      <c r="D38" s="9"/>
      <c r="E38" s="9"/>
    </row>
    <row r="39" spans="3:6" ht="23" x14ac:dyDescent="0.5">
      <c r="C39" s="3" t="s">
        <v>2</v>
      </c>
      <c r="D39" s="11"/>
      <c r="E39" s="11"/>
    </row>
    <row r="40" spans="3:6" ht="14.5" thickBot="1" x14ac:dyDescent="0.35">
      <c r="D40" s="9"/>
      <c r="E40" s="9"/>
    </row>
    <row r="41" spans="3:6" ht="14.5" thickBot="1" x14ac:dyDescent="0.35">
      <c r="C41" s="35" t="s">
        <v>12</v>
      </c>
      <c r="D41" s="36" t="s">
        <v>26</v>
      </c>
    </row>
    <row r="42" spans="3:6" x14ac:dyDescent="0.3">
      <c r="C42" s="5" t="s">
        <v>4</v>
      </c>
      <c r="D42" s="19">
        <v>485589</v>
      </c>
    </row>
    <row r="43" spans="3:6" x14ac:dyDescent="0.3">
      <c r="C43" s="5" t="s">
        <v>5</v>
      </c>
      <c r="D43" s="4"/>
    </row>
    <row r="44" spans="3:6" x14ac:dyDescent="0.3">
      <c r="C44" s="5" t="s">
        <v>6</v>
      </c>
      <c r="D44" s="4"/>
    </row>
    <row r="45" spans="3:6" x14ac:dyDescent="0.3">
      <c r="C45" s="5" t="s">
        <v>7</v>
      </c>
      <c r="D45" s="4"/>
    </row>
    <row r="46" spans="3:6" ht="14.5" thickBot="1" x14ac:dyDescent="0.35">
      <c r="C46" s="5" t="s">
        <v>8</v>
      </c>
      <c r="D46" s="4"/>
    </row>
    <row r="47" spans="3:6" ht="14.5" thickBot="1" x14ac:dyDescent="0.35">
      <c r="C47" s="15" t="s">
        <v>11</v>
      </c>
      <c r="D47" s="16">
        <f>SUM(D41:D46)</f>
        <v>485589</v>
      </c>
    </row>
    <row r="48" spans="3:6" ht="14.5" thickBot="1" x14ac:dyDescent="0.35">
      <c r="D48" s="9"/>
    </row>
    <row r="49" spans="3:4" x14ac:dyDescent="0.3">
      <c r="C49" s="7" t="s">
        <v>12</v>
      </c>
      <c r="D49" s="22" t="s">
        <v>97</v>
      </c>
    </row>
    <row r="50" spans="3:4" x14ac:dyDescent="0.3">
      <c r="C50" s="5" t="s">
        <v>4</v>
      </c>
      <c r="D50" s="4">
        <v>18795</v>
      </c>
    </row>
    <row r="51" spans="3:4" x14ac:dyDescent="0.3">
      <c r="C51" s="5" t="s">
        <v>5</v>
      </c>
      <c r="D51" s="4">
        <v>20295</v>
      </c>
    </row>
    <row r="52" spans="3:4" x14ac:dyDescent="0.3">
      <c r="C52" s="5" t="s">
        <v>6</v>
      </c>
      <c r="D52" s="4"/>
    </row>
    <row r="53" spans="3:4" x14ac:dyDescent="0.3">
      <c r="C53" s="5" t="s">
        <v>7</v>
      </c>
      <c r="D53" s="4"/>
    </row>
    <row r="54" spans="3:4" ht="14.5" thickBot="1" x14ac:dyDescent="0.35">
      <c r="C54" s="5" t="s">
        <v>8</v>
      </c>
      <c r="D54" s="4"/>
    </row>
    <row r="55" spans="3:4" ht="14.5" thickBot="1" x14ac:dyDescent="0.35">
      <c r="C55" s="15" t="s">
        <v>11</v>
      </c>
      <c r="D55" s="16">
        <f>SUM(D49:D54)</f>
        <v>39090</v>
      </c>
    </row>
    <row r="56" spans="3:4" ht="14.5" thickBot="1" x14ac:dyDescent="0.35">
      <c r="D56" s="9"/>
    </row>
    <row r="57" spans="3:4" x14ac:dyDescent="0.3">
      <c r="C57" s="7" t="s">
        <v>12</v>
      </c>
      <c r="D57" s="22" t="s">
        <v>98</v>
      </c>
    </row>
    <row r="58" spans="3:4" x14ac:dyDescent="0.3">
      <c r="C58" s="5" t="s">
        <v>4</v>
      </c>
      <c r="D58" s="4">
        <v>30000</v>
      </c>
    </row>
    <row r="59" spans="3:4" x14ac:dyDescent="0.3">
      <c r="C59" s="5" t="s">
        <v>5</v>
      </c>
      <c r="D59" s="4"/>
    </row>
    <row r="60" spans="3:4" ht="14.5" thickBot="1" x14ac:dyDescent="0.35">
      <c r="C60" s="5" t="s">
        <v>6</v>
      </c>
      <c r="D60" s="4"/>
    </row>
    <row r="61" spans="3:4" ht="14.5" thickBot="1" x14ac:dyDescent="0.35">
      <c r="C61" s="15" t="s">
        <v>11</v>
      </c>
      <c r="D61" s="16">
        <f>SUM(D57:D60)</f>
        <v>30000</v>
      </c>
    </row>
    <row r="62" spans="3:4" ht="14.5" thickBot="1" x14ac:dyDescent="0.35">
      <c r="C62" s="18"/>
      <c r="D62" s="9"/>
    </row>
    <row r="63" spans="3:4" x14ac:dyDescent="0.3">
      <c r="C63" s="7" t="s">
        <v>12</v>
      </c>
      <c r="D63" s="22" t="s">
        <v>99</v>
      </c>
    </row>
    <row r="64" spans="3:4" x14ac:dyDescent="0.3">
      <c r="C64" s="5" t="s">
        <v>4</v>
      </c>
      <c r="D64" s="4">
        <v>10092</v>
      </c>
    </row>
    <row r="65" spans="3:4" x14ac:dyDescent="0.3">
      <c r="C65" s="5" t="s">
        <v>5</v>
      </c>
      <c r="D65" s="4">
        <v>8686</v>
      </c>
    </row>
    <row r="66" spans="3:4" x14ac:dyDescent="0.3">
      <c r="C66" s="5" t="s">
        <v>6</v>
      </c>
      <c r="D66" s="4">
        <v>3162</v>
      </c>
    </row>
    <row r="67" spans="3:4" x14ac:dyDescent="0.3">
      <c r="C67" s="5" t="s">
        <v>7</v>
      </c>
      <c r="D67" s="4"/>
    </row>
    <row r="68" spans="3:4" x14ac:dyDescent="0.3">
      <c r="C68" s="5" t="s">
        <v>8</v>
      </c>
      <c r="D68" s="4"/>
    </row>
    <row r="69" spans="3:4" x14ac:dyDescent="0.3">
      <c r="C69" s="5" t="s">
        <v>9</v>
      </c>
      <c r="D69" s="4"/>
    </row>
    <row r="70" spans="3:4" ht="14.5" thickBot="1" x14ac:dyDescent="0.35">
      <c r="C70" s="5" t="s">
        <v>10</v>
      </c>
      <c r="D70" s="4"/>
    </row>
    <row r="71" spans="3:4" ht="14.5" thickBot="1" x14ac:dyDescent="0.35">
      <c r="C71" s="15" t="s">
        <v>11</v>
      </c>
      <c r="D71" s="31"/>
    </row>
    <row r="72" spans="3:4" ht="14.5" thickBot="1" x14ac:dyDescent="0.35">
      <c r="D72" s="9"/>
    </row>
    <row r="73" spans="3:4" x14ac:dyDescent="0.3">
      <c r="C73" s="7" t="s">
        <v>12</v>
      </c>
      <c r="D73" s="22" t="s">
        <v>27</v>
      </c>
    </row>
    <row r="74" spans="3:4" x14ac:dyDescent="0.3">
      <c r="C74" s="5" t="s">
        <v>4</v>
      </c>
      <c r="D74" s="4">
        <v>3770</v>
      </c>
    </row>
    <row r="75" spans="3:4" x14ac:dyDescent="0.3">
      <c r="C75" s="5" t="s">
        <v>5</v>
      </c>
      <c r="D75" s="4"/>
    </row>
    <row r="76" spans="3:4" x14ac:dyDescent="0.3">
      <c r="C76" s="5" t="s">
        <v>6</v>
      </c>
      <c r="D76" s="4"/>
    </row>
    <row r="77" spans="3:4" ht="14.5" thickBot="1" x14ac:dyDescent="0.35">
      <c r="C77" s="6" t="s">
        <v>7</v>
      </c>
      <c r="D77" s="23"/>
    </row>
    <row r="78" spans="3:4" ht="14.5" thickBot="1" x14ac:dyDescent="0.35">
      <c r="C78" s="5" t="s">
        <v>8</v>
      </c>
      <c r="D78" s="31"/>
    </row>
    <row r="79" spans="3:4" ht="14.5" thickBot="1" x14ac:dyDescent="0.35">
      <c r="C79" s="5" t="s">
        <v>9</v>
      </c>
      <c r="D79" s="31"/>
    </row>
    <row r="80" spans="3:4" ht="14.5" thickBot="1" x14ac:dyDescent="0.35">
      <c r="C80" s="5" t="s">
        <v>10</v>
      </c>
      <c r="D80" s="31"/>
    </row>
    <row r="81" spans="3:5" ht="14.5" thickBot="1" x14ac:dyDescent="0.35">
      <c r="C81" s="15" t="s">
        <v>11</v>
      </c>
      <c r="D81" s="16">
        <f>SUM(D73:D80)</f>
        <v>3770</v>
      </c>
    </row>
    <row r="82" spans="3:5" ht="14.5" thickBot="1" x14ac:dyDescent="0.35">
      <c r="C82" s="18"/>
      <c r="D82" s="9"/>
    </row>
    <row r="83" spans="3:5" x14ac:dyDescent="0.3">
      <c r="C83" s="7" t="s">
        <v>12</v>
      </c>
      <c r="D83" s="22"/>
    </row>
    <row r="84" spans="3:5" x14ac:dyDescent="0.3">
      <c r="C84" s="5" t="s">
        <v>4</v>
      </c>
      <c r="D84" s="4"/>
    </row>
    <row r="85" spans="3:5" x14ac:dyDescent="0.3">
      <c r="C85" s="5" t="s">
        <v>5</v>
      </c>
      <c r="D85" s="4"/>
    </row>
    <row r="86" spans="3:5" x14ac:dyDescent="0.3">
      <c r="C86" s="5" t="s">
        <v>6</v>
      </c>
      <c r="D86" s="4"/>
    </row>
    <row r="87" spans="3:5" ht="14.5" thickBot="1" x14ac:dyDescent="0.35">
      <c r="C87" s="6" t="s">
        <v>7</v>
      </c>
      <c r="D87" s="23"/>
    </row>
    <row r="88" spans="3:5" ht="14.5" thickBot="1" x14ac:dyDescent="0.35">
      <c r="C88" s="15" t="s">
        <v>11</v>
      </c>
      <c r="D88" s="16">
        <f>SUM(D83:D87)</f>
        <v>0</v>
      </c>
    </row>
    <row r="89" spans="3:5" ht="14.5" thickBot="1" x14ac:dyDescent="0.35">
      <c r="D89" s="9"/>
      <c r="E89" s="9"/>
    </row>
    <row r="90" spans="3:5" x14ac:dyDescent="0.3">
      <c r="C90" s="7" t="s">
        <v>12</v>
      </c>
      <c r="D90" s="22"/>
    </row>
    <row r="91" spans="3:5" x14ac:dyDescent="0.3">
      <c r="C91" s="5" t="s">
        <v>4</v>
      </c>
      <c r="D91" s="4"/>
    </row>
    <row r="92" spans="3:5" x14ac:dyDescent="0.3">
      <c r="C92" s="5" t="s">
        <v>5</v>
      </c>
      <c r="D92" s="4"/>
    </row>
    <row r="93" spans="3:5" x14ac:dyDescent="0.3">
      <c r="C93" s="5" t="s">
        <v>6</v>
      </c>
      <c r="D93" s="4"/>
    </row>
    <row r="94" spans="3:5" x14ac:dyDescent="0.3">
      <c r="C94" s="5" t="s">
        <v>7</v>
      </c>
      <c r="D94" s="10"/>
    </row>
    <row r="95" spans="3:5" x14ac:dyDescent="0.3">
      <c r="C95" s="5" t="s">
        <v>8</v>
      </c>
      <c r="D95" s="10"/>
    </row>
    <row r="96" spans="3:5" x14ac:dyDescent="0.3">
      <c r="C96" s="5" t="s">
        <v>9</v>
      </c>
      <c r="D96" s="10"/>
    </row>
    <row r="97" spans="3:4" ht="14.5" thickBot="1" x14ac:dyDescent="0.35">
      <c r="C97" s="5" t="s">
        <v>10</v>
      </c>
      <c r="D97" s="10"/>
    </row>
    <row r="98" spans="3:4" ht="14.5" thickBot="1" x14ac:dyDescent="0.35">
      <c r="C98" s="15" t="s">
        <v>11</v>
      </c>
      <c r="D98" s="16">
        <f>SUM(D90:D97)</f>
        <v>0</v>
      </c>
    </row>
    <row r="99" spans="3:4" ht="14.5" thickBot="1" x14ac:dyDescent="0.35">
      <c r="C99" s="18"/>
      <c r="D99" s="9"/>
    </row>
    <row r="100" spans="3:4" x14ac:dyDescent="0.3">
      <c r="C100" s="42" t="s">
        <v>24</v>
      </c>
      <c r="D100" s="20">
        <f>D81+D71+D61+D55+D47+D88</f>
        <v>558449</v>
      </c>
    </row>
    <row r="101" spans="3:4" ht="14.5" thickBot="1" x14ac:dyDescent="0.35">
      <c r="C101" s="43"/>
      <c r="D101" s="24"/>
    </row>
    <row r="102" spans="3:4" ht="14.5" thickBot="1" x14ac:dyDescent="0.35"/>
    <row r="103" spans="3:4" ht="14.5" thickBot="1" x14ac:dyDescent="0.35">
      <c r="C103" s="46" t="s">
        <v>29</v>
      </c>
      <c r="D103" s="47">
        <f>D21-D47-D55-D61-D71-D81-D88</f>
        <v>136051</v>
      </c>
    </row>
    <row r="104" spans="3:4" ht="14.5" thickBot="1" x14ac:dyDescent="0.35">
      <c r="C104" s="53">
        <v>0.5</v>
      </c>
      <c r="D104" s="48">
        <f>D103*0.5</f>
        <v>68025.5</v>
      </c>
    </row>
    <row r="105" spans="3:4" ht="14.5" thickBot="1" x14ac:dyDescent="0.35">
      <c r="C105" s="54"/>
      <c r="D105" s="55"/>
    </row>
  </sheetData>
  <mergeCells count="2">
    <mergeCell ref="C4:E4"/>
    <mergeCell ref="D6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720F-ABD6-47E5-8EE3-6B2F51B0610B}">
  <sheetPr>
    <pageSetUpPr fitToPage="1"/>
  </sheetPr>
  <dimension ref="C3:F97"/>
  <sheetViews>
    <sheetView rightToLeft="1" topLeftCell="A77" workbookViewId="0">
      <selection activeCell="D96" sqref="D96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106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41</v>
      </c>
      <c r="E10" s="30" t="s">
        <v>31</v>
      </c>
    </row>
    <row r="11" spans="3:6" x14ac:dyDescent="0.3">
      <c r="C11" s="32" t="s">
        <v>3</v>
      </c>
      <c r="D11" s="33">
        <v>240000</v>
      </c>
      <c r="E11" s="34"/>
    </row>
    <row r="12" spans="3:6" x14ac:dyDescent="0.3">
      <c r="C12" s="5" t="s">
        <v>4</v>
      </c>
      <c r="D12" s="33"/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ht="14.5" thickBot="1" x14ac:dyDescent="0.35">
      <c r="C17" s="6" t="s">
        <v>17</v>
      </c>
      <c r="D17" s="31"/>
      <c r="E17" s="52"/>
    </row>
    <row r="18" spans="3:6" ht="14.5" thickBot="1" x14ac:dyDescent="0.35">
      <c r="C18" s="39" t="s">
        <v>11</v>
      </c>
      <c r="D18" s="41"/>
      <c r="E18" s="40"/>
    </row>
    <row r="19" spans="3:6" ht="14.5" thickBot="1" x14ac:dyDescent="0.35">
      <c r="C19" s="37" t="s">
        <v>23</v>
      </c>
      <c r="D19" s="41">
        <f>D11-D18</f>
        <v>240000</v>
      </c>
      <c r="E19" s="38"/>
    </row>
    <row r="20" spans="3:6" x14ac:dyDescent="0.3">
      <c r="D20" s="9"/>
      <c r="E20" s="9"/>
    </row>
    <row r="21" spans="3:6" ht="20" x14ac:dyDescent="0.4">
      <c r="C21" s="2" t="s">
        <v>16</v>
      </c>
      <c r="D21" s="9"/>
      <c r="E21" s="9"/>
    </row>
    <row r="22" spans="3:6" ht="14.5" thickBot="1" x14ac:dyDescent="0.35">
      <c r="D22" s="9"/>
      <c r="E22" s="9"/>
    </row>
    <row r="23" spans="3:6" ht="14.5" thickBot="1" x14ac:dyDescent="0.35">
      <c r="C23" s="28" t="s">
        <v>18</v>
      </c>
      <c r="D23" s="29" t="s">
        <v>21</v>
      </c>
      <c r="E23" s="29" t="s">
        <v>22</v>
      </c>
      <c r="F23" s="30" t="s">
        <v>19</v>
      </c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26"/>
      <c r="D27" s="19"/>
      <c r="E27" s="19"/>
      <c r="F27" s="27"/>
    </row>
    <row r="28" spans="3:6" x14ac:dyDescent="0.3">
      <c r="C28" s="49"/>
      <c r="D28" s="19"/>
      <c r="E28" s="4"/>
      <c r="F28" s="21"/>
    </row>
    <row r="29" spans="3:6" x14ac:dyDescent="0.3">
      <c r="C29" s="49"/>
      <c r="D29" s="19"/>
      <c r="E29" s="4"/>
      <c r="F29" s="21"/>
    </row>
    <row r="30" spans="3:6" ht="14.5" thickBot="1" x14ac:dyDescent="0.35">
      <c r="C30" s="50"/>
      <c r="D30" s="10"/>
      <c r="E30" s="10"/>
      <c r="F30" s="51"/>
    </row>
    <row r="31" spans="3:6" ht="14.5" thickBot="1" x14ac:dyDescent="0.35">
      <c r="C31" s="25" t="s">
        <v>20</v>
      </c>
      <c r="D31" s="16"/>
      <c r="E31" s="16"/>
      <c r="F31" s="17">
        <f>SUM(F24:F30)</f>
        <v>0</v>
      </c>
    </row>
    <row r="32" spans="3:6" x14ac:dyDescent="0.3">
      <c r="D32" s="9"/>
      <c r="E32" s="9"/>
    </row>
    <row r="33" spans="3:5" x14ac:dyDescent="0.3">
      <c r="C33" s="44" t="s">
        <v>25</v>
      </c>
      <c r="D33" s="45">
        <f>F31+D19</f>
        <v>240000</v>
      </c>
      <c r="E33" s="9"/>
    </row>
    <row r="34" spans="3:5" x14ac:dyDescent="0.3">
      <c r="C34" s="44"/>
      <c r="D34" s="44"/>
      <c r="E34" s="9"/>
    </row>
    <row r="35" spans="3:5" x14ac:dyDescent="0.3">
      <c r="D35" s="9"/>
      <c r="E35" s="9"/>
    </row>
    <row r="36" spans="3:5" ht="23" x14ac:dyDescent="0.5">
      <c r="C36" s="3" t="s">
        <v>2</v>
      </c>
      <c r="D36" s="11"/>
      <c r="E36" s="11"/>
    </row>
    <row r="37" spans="3:5" ht="14.5" thickBot="1" x14ac:dyDescent="0.35">
      <c r="D37" s="9"/>
      <c r="E37" s="9"/>
    </row>
    <row r="38" spans="3:5" ht="14.5" thickBot="1" x14ac:dyDescent="0.35">
      <c r="C38" s="35" t="s">
        <v>12</v>
      </c>
      <c r="D38" s="36" t="s">
        <v>35</v>
      </c>
    </row>
    <row r="39" spans="3:5" x14ac:dyDescent="0.3">
      <c r="C39" s="5" t="s">
        <v>4</v>
      </c>
      <c r="D39" s="19">
        <v>45000</v>
      </c>
    </row>
    <row r="40" spans="3:5" x14ac:dyDescent="0.3">
      <c r="C40" s="5" t="s">
        <v>5</v>
      </c>
      <c r="D40" s="4"/>
    </row>
    <row r="41" spans="3:5" x14ac:dyDescent="0.3">
      <c r="C41" s="5" t="s">
        <v>6</v>
      </c>
      <c r="D41" s="4"/>
    </row>
    <row r="42" spans="3:5" x14ac:dyDescent="0.3">
      <c r="C42" s="5" t="s">
        <v>7</v>
      </c>
      <c r="D42" s="4"/>
    </row>
    <row r="43" spans="3:5" ht="14.5" thickBot="1" x14ac:dyDescent="0.35">
      <c r="C43" s="5" t="s">
        <v>8</v>
      </c>
      <c r="D43" s="4"/>
    </row>
    <row r="44" spans="3:5" ht="14.5" thickBot="1" x14ac:dyDescent="0.35">
      <c r="C44" s="15" t="s">
        <v>11</v>
      </c>
      <c r="D44" s="16">
        <f>SUM(D38:D43)</f>
        <v>45000</v>
      </c>
    </row>
    <row r="45" spans="3:5" ht="14.5" thickBot="1" x14ac:dyDescent="0.35">
      <c r="D45" s="9"/>
    </row>
    <row r="46" spans="3:5" x14ac:dyDescent="0.3">
      <c r="C46" s="7" t="s">
        <v>12</v>
      </c>
      <c r="D46" s="22" t="s">
        <v>27</v>
      </c>
    </row>
    <row r="47" spans="3:5" x14ac:dyDescent="0.3">
      <c r="C47" s="5" t="s">
        <v>4</v>
      </c>
      <c r="D47" s="4"/>
    </row>
    <row r="48" spans="3:5" x14ac:dyDescent="0.3">
      <c r="C48" s="5" t="s">
        <v>5</v>
      </c>
      <c r="D48" s="4"/>
    </row>
    <row r="49" spans="3:4" x14ac:dyDescent="0.3">
      <c r="C49" s="5" t="s">
        <v>6</v>
      </c>
      <c r="D49" s="4"/>
    </row>
    <row r="50" spans="3:4" x14ac:dyDescent="0.3">
      <c r="C50" s="5" t="s">
        <v>7</v>
      </c>
      <c r="D50" s="4"/>
    </row>
    <row r="51" spans="3:4" ht="14.5" thickBot="1" x14ac:dyDescent="0.35">
      <c r="C51" s="5" t="s">
        <v>8</v>
      </c>
      <c r="D51" s="4"/>
    </row>
    <row r="52" spans="3:4" ht="14.5" thickBot="1" x14ac:dyDescent="0.35">
      <c r="C52" s="15" t="s">
        <v>11</v>
      </c>
      <c r="D52" s="16">
        <f>SUM(D46:D51)</f>
        <v>0</v>
      </c>
    </row>
    <row r="53" spans="3:4" ht="14.5" thickBot="1" x14ac:dyDescent="0.35">
      <c r="D53" s="9"/>
    </row>
    <row r="54" spans="3:4" x14ac:dyDescent="0.3">
      <c r="C54" s="7" t="s">
        <v>12</v>
      </c>
      <c r="D54" s="22" t="s">
        <v>26</v>
      </c>
    </row>
    <row r="55" spans="3:4" x14ac:dyDescent="0.3">
      <c r="C55" s="5" t="s">
        <v>4</v>
      </c>
      <c r="D55" s="4">
        <v>35000</v>
      </c>
    </row>
    <row r="56" spans="3:4" x14ac:dyDescent="0.3">
      <c r="C56" s="5" t="s">
        <v>5</v>
      </c>
      <c r="D56" s="4"/>
    </row>
    <row r="57" spans="3:4" ht="14.5" thickBot="1" x14ac:dyDescent="0.35">
      <c r="C57" s="5" t="s">
        <v>6</v>
      </c>
      <c r="D57" s="4"/>
    </row>
    <row r="58" spans="3:4" ht="14.5" thickBot="1" x14ac:dyDescent="0.35">
      <c r="C58" s="15" t="s">
        <v>11</v>
      </c>
      <c r="D58" s="16">
        <f>SUM(D54:D57)</f>
        <v>35000</v>
      </c>
    </row>
    <row r="59" spans="3:4" ht="14.5" thickBot="1" x14ac:dyDescent="0.35">
      <c r="C59" s="18"/>
      <c r="D59" s="9"/>
    </row>
    <row r="60" spans="3:4" x14ac:dyDescent="0.3">
      <c r="C60" s="7" t="s">
        <v>12</v>
      </c>
      <c r="D60" s="22" t="s">
        <v>107</v>
      </c>
    </row>
    <row r="61" spans="3:4" x14ac:dyDescent="0.3">
      <c r="C61" s="5" t="s">
        <v>4</v>
      </c>
      <c r="D61" s="4">
        <v>43000</v>
      </c>
    </row>
    <row r="62" spans="3:4" x14ac:dyDescent="0.3">
      <c r="C62" s="5" t="s">
        <v>5</v>
      </c>
      <c r="D62" s="4"/>
    </row>
    <row r="63" spans="3:4" x14ac:dyDescent="0.3">
      <c r="C63" s="5" t="s">
        <v>6</v>
      </c>
      <c r="D63" s="4"/>
    </row>
    <row r="64" spans="3:4" x14ac:dyDescent="0.3">
      <c r="C64" s="5" t="s">
        <v>7</v>
      </c>
      <c r="D64" s="4"/>
    </row>
    <row r="65" spans="3:4" ht="14.5" thickBot="1" x14ac:dyDescent="0.35">
      <c r="C65" s="5" t="s">
        <v>8</v>
      </c>
      <c r="D65" s="4"/>
    </row>
    <row r="66" spans="3:4" ht="14.5" thickBot="1" x14ac:dyDescent="0.35">
      <c r="C66" s="15" t="s">
        <v>11</v>
      </c>
      <c r="D66" s="16">
        <f>SUM(D60:D65)</f>
        <v>43000</v>
      </c>
    </row>
    <row r="67" spans="3:4" ht="14.5" thickBot="1" x14ac:dyDescent="0.35">
      <c r="D67" s="9"/>
    </row>
    <row r="68" spans="3:4" x14ac:dyDescent="0.3">
      <c r="C68" s="7" t="s">
        <v>12</v>
      </c>
      <c r="D68" s="22" t="s">
        <v>108</v>
      </c>
    </row>
    <row r="69" spans="3:4" x14ac:dyDescent="0.3">
      <c r="C69" s="5" t="s">
        <v>4</v>
      </c>
      <c r="D69" s="4">
        <v>3169</v>
      </c>
    </row>
    <row r="70" spans="3:4" x14ac:dyDescent="0.3">
      <c r="C70" s="5" t="s">
        <v>5</v>
      </c>
      <c r="D70" s="4"/>
    </row>
    <row r="71" spans="3:4" x14ac:dyDescent="0.3">
      <c r="C71" s="5" t="s">
        <v>6</v>
      </c>
      <c r="D71" s="4"/>
    </row>
    <row r="72" spans="3:4" ht="14.5" thickBot="1" x14ac:dyDescent="0.35">
      <c r="C72" s="6" t="s">
        <v>7</v>
      </c>
      <c r="D72" s="23"/>
    </row>
    <row r="73" spans="3:4" ht="14.5" thickBot="1" x14ac:dyDescent="0.35">
      <c r="C73" s="15" t="s">
        <v>11</v>
      </c>
      <c r="D73" s="16">
        <f>SUM(D68:D72)</f>
        <v>3169</v>
      </c>
    </row>
    <row r="74" spans="3:4" ht="14.5" thickBot="1" x14ac:dyDescent="0.35">
      <c r="C74" s="18"/>
      <c r="D74" s="9"/>
    </row>
    <row r="75" spans="3:4" x14ac:dyDescent="0.3">
      <c r="C75" s="7" t="s">
        <v>12</v>
      </c>
      <c r="D75" s="22" t="s">
        <v>32</v>
      </c>
    </row>
    <row r="76" spans="3:4" x14ac:dyDescent="0.3">
      <c r="C76" s="5" t="s">
        <v>4</v>
      </c>
      <c r="D76" s="4"/>
    </row>
    <row r="77" spans="3:4" x14ac:dyDescent="0.3">
      <c r="C77" s="5" t="s">
        <v>5</v>
      </c>
      <c r="D77" s="4"/>
    </row>
    <row r="78" spans="3:4" x14ac:dyDescent="0.3">
      <c r="C78" s="5" t="s">
        <v>6</v>
      </c>
      <c r="D78" s="4"/>
    </row>
    <row r="79" spans="3:4" ht="14.5" thickBot="1" x14ac:dyDescent="0.35">
      <c r="C79" s="6" t="s">
        <v>7</v>
      </c>
      <c r="D79" s="23"/>
    </row>
    <row r="80" spans="3:4" ht="14.5" thickBot="1" x14ac:dyDescent="0.35">
      <c r="C80" s="15" t="s">
        <v>11</v>
      </c>
      <c r="D80" s="16">
        <f>SUM(D75:D79)</f>
        <v>0</v>
      </c>
    </row>
    <row r="81" spans="3:5" ht="14.5" thickBot="1" x14ac:dyDescent="0.35">
      <c r="D81" s="9"/>
      <c r="E81" s="9"/>
    </row>
    <row r="82" spans="3:5" x14ac:dyDescent="0.3">
      <c r="C82" s="7" t="s">
        <v>12</v>
      </c>
      <c r="D82" s="22" t="s">
        <v>28</v>
      </c>
    </row>
    <row r="83" spans="3:5" x14ac:dyDescent="0.3">
      <c r="C83" s="5" t="s">
        <v>4</v>
      </c>
      <c r="D83" s="4"/>
    </row>
    <row r="84" spans="3:5" x14ac:dyDescent="0.3">
      <c r="C84" s="5" t="s">
        <v>5</v>
      </c>
      <c r="D84" s="12"/>
    </row>
    <row r="85" spans="3:5" x14ac:dyDescent="0.3">
      <c r="C85" s="5" t="s">
        <v>6</v>
      </c>
      <c r="D85" s="12"/>
    </row>
    <row r="86" spans="3:5" x14ac:dyDescent="0.3">
      <c r="C86" s="5" t="s">
        <v>7</v>
      </c>
      <c r="D86" s="13"/>
    </row>
    <row r="87" spans="3:5" x14ac:dyDescent="0.3">
      <c r="C87" s="5" t="s">
        <v>8</v>
      </c>
      <c r="D87" s="13"/>
    </row>
    <row r="88" spans="3:5" x14ac:dyDescent="0.3">
      <c r="C88" s="5" t="s">
        <v>9</v>
      </c>
      <c r="D88" s="13"/>
    </row>
    <row r="89" spans="3:5" ht="14.5" thickBot="1" x14ac:dyDescent="0.35">
      <c r="C89" s="5" t="s">
        <v>10</v>
      </c>
      <c r="D89" s="13"/>
    </row>
    <row r="90" spans="3:5" ht="14.5" thickBot="1" x14ac:dyDescent="0.35">
      <c r="C90" s="15" t="s">
        <v>11</v>
      </c>
      <c r="D90" s="16">
        <f>SUM(D82:D89)</f>
        <v>0</v>
      </c>
    </row>
    <row r="91" spans="3:5" ht="14.5" thickBot="1" x14ac:dyDescent="0.35">
      <c r="C91" s="18"/>
      <c r="D91" s="9"/>
    </row>
    <row r="92" spans="3:5" x14ac:dyDescent="0.3">
      <c r="C92" s="42" t="s">
        <v>24</v>
      </c>
      <c r="D92" s="20">
        <f>D90+D73+D66+D58+D52+D44+D80</f>
        <v>126169</v>
      </c>
    </row>
    <row r="93" spans="3:5" ht="14.5" thickBot="1" x14ac:dyDescent="0.35">
      <c r="C93" s="43"/>
      <c r="D93" s="24"/>
    </row>
    <row r="94" spans="3:5" ht="14.5" thickBot="1" x14ac:dyDescent="0.35"/>
    <row r="95" spans="3:5" ht="14.5" thickBot="1" x14ac:dyDescent="0.35">
      <c r="C95" s="46" t="s">
        <v>29</v>
      </c>
      <c r="D95" s="47">
        <f>D33-D92</f>
        <v>113831</v>
      </c>
    </row>
    <row r="96" spans="3:5" ht="14.5" thickBot="1" x14ac:dyDescent="0.35">
      <c r="C96" s="53">
        <v>0.5</v>
      </c>
      <c r="D96" s="48">
        <f>D95*0.5</f>
        <v>56915.5</v>
      </c>
    </row>
    <row r="97" spans="3:4" ht="14.5" thickBot="1" x14ac:dyDescent="0.35">
      <c r="C97" s="54"/>
      <c r="D97" s="55"/>
    </row>
  </sheetData>
  <mergeCells count="2">
    <mergeCell ref="C4:E4"/>
    <mergeCell ref="D6:E7"/>
  </mergeCells>
  <pageMargins left="0.7" right="0.7" top="0.75" bottom="0.75" header="0.3" footer="0.3"/>
  <pageSetup paperSize="9" scale="5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565A-8840-46EF-9B6A-2362836DCDC2}">
  <dimension ref="C2:F96"/>
  <sheetViews>
    <sheetView rightToLeft="1" topLeftCell="A73" workbookViewId="0">
      <selection activeCell="D96" sqref="D96"/>
    </sheetView>
  </sheetViews>
  <sheetFormatPr defaultRowHeight="14" x14ac:dyDescent="0.3"/>
  <cols>
    <col min="3" max="3" width="21.25" bestFit="1" customWidth="1"/>
    <col min="4" max="4" width="15.83203125" bestFit="1" customWidth="1"/>
    <col min="5" max="5" width="20.5" bestFit="1" customWidth="1"/>
  </cols>
  <sheetData>
    <row r="2" spans="3:6" x14ac:dyDescent="0.3">
      <c r="C2" t="s">
        <v>0</v>
      </c>
    </row>
    <row r="3" spans="3:6" ht="23" x14ac:dyDescent="0.3">
      <c r="C3" s="68" t="s">
        <v>14</v>
      </c>
      <c r="D3" s="68"/>
      <c r="E3" s="68"/>
      <c r="F3" s="8"/>
    </row>
    <row r="5" spans="3:6" ht="20" x14ac:dyDescent="0.4">
      <c r="C5" s="14" t="s">
        <v>15</v>
      </c>
      <c r="D5" s="69" t="s">
        <v>57</v>
      </c>
      <c r="E5" s="69"/>
    </row>
    <row r="6" spans="3:6" x14ac:dyDescent="0.3">
      <c r="D6" s="69"/>
      <c r="E6" s="69"/>
    </row>
    <row r="7" spans="3:6" ht="23" x14ac:dyDescent="0.5">
      <c r="C7" s="3" t="s">
        <v>1</v>
      </c>
      <c r="D7" s="1"/>
    </row>
    <row r="8" spans="3:6" ht="14.5" thickBot="1" x14ac:dyDescent="0.35"/>
    <row r="9" spans="3:6" ht="14.5" thickBot="1" x14ac:dyDescent="0.35">
      <c r="C9" s="15"/>
      <c r="D9" s="29" t="s">
        <v>58</v>
      </c>
      <c r="E9" s="30" t="s">
        <v>31</v>
      </c>
    </row>
    <row r="10" spans="3:6" x14ac:dyDescent="0.3">
      <c r="C10" s="32" t="s">
        <v>3</v>
      </c>
      <c r="D10" s="33">
        <v>350000</v>
      </c>
      <c r="E10" s="34"/>
    </row>
    <row r="11" spans="3:6" x14ac:dyDescent="0.3">
      <c r="C11" s="5" t="s">
        <v>4</v>
      </c>
      <c r="D11" s="9">
        <v>175000</v>
      </c>
      <c r="E11" s="52"/>
    </row>
    <row r="12" spans="3:6" x14ac:dyDescent="0.3">
      <c r="C12" s="5" t="s">
        <v>5</v>
      </c>
      <c r="D12" s="4">
        <v>145000</v>
      </c>
      <c r="E12" s="52"/>
      <c r="F12" s="9"/>
    </row>
    <row r="13" spans="3:6" x14ac:dyDescent="0.3">
      <c r="C13" s="5" t="s">
        <v>6</v>
      </c>
      <c r="D13" s="4">
        <v>30000</v>
      </c>
      <c r="E13" s="52"/>
    </row>
    <row r="14" spans="3:6" x14ac:dyDescent="0.3">
      <c r="C14" s="5" t="s">
        <v>7</v>
      </c>
      <c r="D14" s="4"/>
      <c r="E14" s="52"/>
    </row>
    <row r="15" spans="3:6" x14ac:dyDescent="0.3">
      <c r="C15" s="5" t="s">
        <v>8</v>
      </c>
      <c r="D15" s="4"/>
      <c r="E15" s="52"/>
    </row>
    <row r="16" spans="3:6" ht="14.5" thickBot="1" x14ac:dyDescent="0.35">
      <c r="C16" s="6" t="s">
        <v>17</v>
      </c>
      <c r="D16" s="31"/>
      <c r="E16" s="52"/>
    </row>
    <row r="17" spans="3:6" ht="14.5" thickBot="1" x14ac:dyDescent="0.35">
      <c r="C17" s="39" t="s">
        <v>11</v>
      </c>
      <c r="D17" s="41">
        <f>SUM(D11:D16)</f>
        <v>350000</v>
      </c>
      <c r="E17" s="40"/>
    </row>
    <row r="18" spans="3:6" ht="14.5" thickBot="1" x14ac:dyDescent="0.35">
      <c r="C18" s="37" t="s">
        <v>23</v>
      </c>
      <c r="D18" s="41">
        <f>D10-D17</f>
        <v>0</v>
      </c>
      <c r="E18" s="38"/>
    </row>
    <row r="19" spans="3:6" x14ac:dyDescent="0.3">
      <c r="D19" s="9"/>
      <c r="E19" s="9"/>
    </row>
    <row r="20" spans="3:6" ht="20" x14ac:dyDescent="0.4">
      <c r="C20" s="2" t="s">
        <v>16</v>
      </c>
      <c r="D20" s="9"/>
      <c r="E20" s="9"/>
    </row>
    <row r="21" spans="3:6" ht="14.5" thickBot="1" x14ac:dyDescent="0.35">
      <c r="D21" s="9"/>
      <c r="E21" s="9"/>
    </row>
    <row r="22" spans="3:6" ht="14.5" thickBot="1" x14ac:dyDescent="0.35">
      <c r="C22" s="28" t="s">
        <v>18</v>
      </c>
      <c r="D22" s="29" t="s">
        <v>21</v>
      </c>
      <c r="E22" s="29" t="s">
        <v>22</v>
      </c>
      <c r="F22" s="30" t="s">
        <v>19</v>
      </c>
    </row>
    <row r="23" spans="3:6" x14ac:dyDescent="0.3">
      <c r="C23" s="26"/>
      <c r="D23" s="19"/>
      <c r="E23" s="19"/>
      <c r="F23" s="27"/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49"/>
      <c r="D27" s="19"/>
      <c r="E27" s="4"/>
      <c r="F27" s="21"/>
    </row>
    <row r="28" spans="3:6" x14ac:dyDescent="0.3">
      <c r="C28" s="49"/>
      <c r="D28" s="19"/>
      <c r="E28" s="4"/>
      <c r="F28" s="21"/>
    </row>
    <row r="29" spans="3:6" ht="14.5" thickBot="1" x14ac:dyDescent="0.35">
      <c r="C29" s="50"/>
      <c r="D29" s="10"/>
      <c r="E29" s="10"/>
      <c r="F29" s="51"/>
    </row>
    <row r="30" spans="3:6" ht="14.5" thickBot="1" x14ac:dyDescent="0.35">
      <c r="C30" s="25" t="s">
        <v>20</v>
      </c>
      <c r="D30" s="16"/>
      <c r="E30" s="16"/>
      <c r="F30" s="17">
        <f>SUM(F23:F29)</f>
        <v>0</v>
      </c>
    </row>
    <row r="31" spans="3:6" x14ac:dyDescent="0.3">
      <c r="D31" s="9"/>
      <c r="E31" s="9"/>
    </row>
    <row r="32" spans="3:6" x14ac:dyDescent="0.3">
      <c r="C32" s="44" t="s">
        <v>25</v>
      </c>
      <c r="D32" s="45">
        <f>F30+D10</f>
        <v>350000</v>
      </c>
      <c r="E32" s="9"/>
    </row>
    <row r="33" spans="3:5" x14ac:dyDescent="0.3">
      <c r="C33" s="44"/>
      <c r="D33" s="44"/>
      <c r="E33" s="9"/>
    </row>
    <row r="34" spans="3:5" x14ac:dyDescent="0.3">
      <c r="D34" s="9"/>
      <c r="E34" s="9"/>
    </row>
    <row r="35" spans="3:5" ht="23" x14ac:dyDescent="0.5">
      <c r="C35" s="3" t="s">
        <v>2</v>
      </c>
      <c r="D35" s="11"/>
      <c r="E35" s="11"/>
    </row>
    <row r="36" spans="3:5" ht="14.5" thickBot="1" x14ac:dyDescent="0.35">
      <c r="D36" s="9"/>
      <c r="E36" s="9"/>
    </row>
    <row r="37" spans="3:5" ht="14.5" thickBot="1" x14ac:dyDescent="0.35">
      <c r="C37" s="35" t="s">
        <v>12</v>
      </c>
      <c r="D37" s="36" t="s">
        <v>35</v>
      </c>
    </row>
    <row r="38" spans="3:5" x14ac:dyDescent="0.3">
      <c r="C38" s="5" t="s">
        <v>4</v>
      </c>
      <c r="D38" s="19">
        <v>45000</v>
      </c>
    </row>
    <row r="39" spans="3:5" x14ac:dyDescent="0.3">
      <c r="C39" s="5" t="s">
        <v>5</v>
      </c>
      <c r="D39" s="4"/>
    </row>
    <row r="40" spans="3:5" x14ac:dyDescent="0.3">
      <c r="C40" s="5" t="s">
        <v>6</v>
      </c>
      <c r="D40" s="4"/>
    </row>
    <row r="41" spans="3:5" x14ac:dyDescent="0.3">
      <c r="C41" s="5" t="s">
        <v>7</v>
      </c>
      <c r="D41" s="4"/>
    </row>
    <row r="42" spans="3:5" ht="14.5" thickBot="1" x14ac:dyDescent="0.35">
      <c r="C42" s="5" t="s">
        <v>8</v>
      </c>
      <c r="D42" s="4"/>
    </row>
    <row r="43" spans="3:5" ht="14.5" thickBot="1" x14ac:dyDescent="0.35">
      <c r="C43" s="15" t="s">
        <v>11</v>
      </c>
      <c r="D43" s="16">
        <f>SUM(D37:D42)</f>
        <v>45000</v>
      </c>
    </row>
    <row r="44" spans="3:5" ht="14.5" thickBot="1" x14ac:dyDescent="0.35">
      <c r="D44" s="9"/>
    </row>
    <row r="45" spans="3:5" x14ac:dyDescent="0.3">
      <c r="C45" s="7" t="s">
        <v>12</v>
      </c>
      <c r="D45" s="22" t="s">
        <v>56</v>
      </c>
    </row>
    <row r="46" spans="3:5" x14ac:dyDescent="0.3">
      <c r="C46" s="5" t="s">
        <v>4</v>
      </c>
      <c r="D46" s="4">
        <v>65700</v>
      </c>
    </row>
    <row r="47" spans="3:5" x14ac:dyDescent="0.3">
      <c r="C47" s="5" t="s">
        <v>5</v>
      </c>
      <c r="D47" s="4"/>
    </row>
    <row r="48" spans="3:5" x14ac:dyDescent="0.3">
      <c r="C48" s="5" t="s">
        <v>6</v>
      </c>
      <c r="D48" s="4"/>
    </row>
    <row r="49" spans="3:4" x14ac:dyDescent="0.3">
      <c r="C49" s="5" t="s">
        <v>7</v>
      </c>
      <c r="D49" s="4"/>
    </row>
    <row r="50" spans="3:4" ht="14.5" thickBot="1" x14ac:dyDescent="0.35">
      <c r="C50" s="5" t="s">
        <v>8</v>
      </c>
      <c r="D50" s="4"/>
    </row>
    <row r="51" spans="3:4" ht="14.5" thickBot="1" x14ac:dyDescent="0.35">
      <c r="C51" s="15" t="s">
        <v>11</v>
      </c>
      <c r="D51" s="16">
        <f>SUM(D45:D50)</f>
        <v>65700</v>
      </c>
    </row>
    <row r="52" spans="3:4" ht="14.5" thickBot="1" x14ac:dyDescent="0.35">
      <c r="D52" s="9"/>
    </row>
    <row r="53" spans="3:4" x14ac:dyDescent="0.3">
      <c r="C53" s="7" t="s">
        <v>12</v>
      </c>
      <c r="D53" s="22" t="s">
        <v>26</v>
      </c>
    </row>
    <row r="54" spans="3:4" x14ac:dyDescent="0.3">
      <c r="C54" s="5" t="s">
        <v>4</v>
      </c>
      <c r="D54" s="4">
        <v>75000</v>
      </c>
    </row>
    <row r="55" spans="3:4" x14ac:dyDescent="0.3">
      <c r="C55" s="5" t="s">
        <v>5</v>
      </c>
      <c r="D55" s="4"/>
    </row>
    <row r="56" spans="3:4" ht="14.5" thickBot="1" x14ac:dyDescent="0.35">
      <c r="C56" s="5" t="s">
        <v>6</v>
      </c>
      <c r="D56" s="4"/>
    </row>
    <row r="57" spans="3:4" ht="14.5" thickBot="1" x14ac:dyDescent="0.35">
      <c r="C57" s="15" t="s">
        <v>11</v>
      </c>
      <c r="D57" s="16">
        <f>SUM(D53:D56)</f>
        <v>75000</v>
      </c>
    </row>
    <row r="58" spans="3:4" ht="14.5" thickBot="1" x14ac:dyDescent="0.35">
      <c r="C58" s="18"/>
      <c r="D58" s="9"/>
    </row>
    <row r="59" spans="3:4" x14ac:dyDescent="0.3">
      <c r="C59" s="7" t="s">
        <v>12</v>
      </c>
      <c r="D59" s="22" t="s">
        <v>59</v>
      </c>
    </row>
    <row r="60" spans="3:4" x14ac:dyDescent="0.3">
      <c r="C60" s="5" t="s">
        <v>4</v>
      </c>
      <c r="D60" s="4">
        <v>550</v>
      </c>
    </row>
    <row r="61" spans="3:4" x14ac:dyDescent="0.3">
      <c r="C61" s="5" t="s">
        <v>5</v>
      </c>
      <c r="D61" s="4"/>
    </row>
    <row r="62" spans="3:4" x14ac:dyDescent="0.3">
      <c r="C62" s="5" t="s">
        <v>6</v>
      </c>
      <c r="D62" s="4"/>
    </row>
    <row r="63" spans="3:4" x14ac:dyDescent="0.3">
      <c r="C63" s="5" t="s">
        <v>7</v>
      </c>
      <c r="D63" s="4"/>
    </row>
    <row r="64" spans="3:4" ht="14.5" thickBot="1" x14ac:dyDescent="0.35">
      <c r="C64" s="5" t="s">
        <v>8</v>
      </c>
      <c r="D64" s="4"/>
    </row>
    <row r="65" spans="3:5" ht="14.5" thickBot="1" x14ac:dyDescent="0.35">
      <c r="C65" s="15" t="s">
        <v>11</v>
      </c>
      <c r="D65" s="16">
        <f>SUM(D59:D64)</f>
        <v>550</v>
      </c>
    </row>
    <row r="66" spans="3:5" ht="14.5" thickBot="1" x14ac:dyDescent="0.35">
      <c r="D66" s="9"/>
    </row>
    <row r="67" spans="3:5" x14ac:dyDescent="0.3">
      <c r="C67" s="7" t="s">
        <v>12</v>
      </c>
      <c r="D67" s="22" t="s">
        <v>27</v>
      </c>
    </row>
    <row r="68" spans="3:5" x14ac:dyDescent="0.3">
      <c r="C68" s="5" t="s">
        <v>4</v>
      </c>
      <c r="D68" s="4">
        <v>950</v>
      </c>
    </row>
    <row r="69" spans="3:5" x14ac:dyDescent="0.3">
      <c r="C69" s="5" t="s">
        <v>5</v>
      </c>
      <c r="D69" s="4">
        <v>10150</v>
      </c>
    </row>
    <row r="70" spans="3:5" x14ac:dyDescent="0.3">
      <c r="C70" s="5" t="s">
        <v>6</v>
      </c>
      <c r="D70" s="4"/>
    </row>
    <row r="71" spans="3:5" ht="14.5" thickBot="1" x14ac:dyDescent="0.35">
      <c r="C71" s="6" t="s">
        <v>7</v>
      </c>
      <c r="D71" s="23"/>
    </row>
    <row r="72" spans="3:5" ht="14.5" thickBot="1" x14ac:dyDescent="0.35">
      <c r="C72" s="15" t="s">
        <v>11</v>
      </c>
      <c r="D72" s="16">
        <f>SUM(D67:D71)</f>
        <v>11100</v>
      </c>
    </row>
    <row r="73" spans="3:5" ht="14.5" thickBot="1" x14ac:dyDescent="0.35">
      <c r="C73" s="18"/>
      <c r="D73" s="9"/>
    </row>
    <row r="74" spans="3:5" x14ac:dyDescent="0.3">
      <c r="C74" s="7" t="s">
        <v>12</v>
      </c>
      <c r="D74" s="22"/>
    </row>
    <row r="75" spans="3:5" x14ac:dyDescent="0.3">
      <c r="C75" s="5" t="s">
        <v>4</v>
      </c>
      <c r="D75" s="4"/>
    </row>
    <row r="76" spans="3:5" x14ac:dyDescent="0.3">
      <c r="C76" s="5" t="s">
        <v>5</v>
      </c>
      <c r="D76" s="4"/>
    </row>
    <row r="77" spans="3:5" x14ac:dyDescent="0.3">
      <c r="C77" s="5" t="s">
        <v>6</v>
      </c>
      <c r="D77" s="4"/>
    </row>
    <row r="78" spans="3:5" ht="14.5" thickBot="1" x14ac:dyDescent="0.35">
      <c r="C78" s="6" t="s">
        <v>7</v>
      </c>
      <c r="D78" s="23"/>
    </row>
    <row r="79" spans="3:5" ht="14.5" thickBot="1" x14ac:dyDescent="0.35">
      <c r="C79" s="15" t="s">
        <v>11</v>
      </c>
      <c r="D79" s="16">
        <f>SUM(D74:D78)</f>
        <v>0</v>
      </c>
    </row>
    <row r="80" spans="3:5" ht="14.5" thickBot="1" x14ac:dyDescent="0.35">
      <c r="D80" s="9"/>
      <c r="E80" s="9"/>
    </row>
    <row r="81" spans="3:4" x14ac:dyDescent="0.3">
      <c r="C81" s="7" t="s">
        <v>12</v>
      </c>
      <c r="D81" s="22" t="s">
        <v>28</v>
      </c>
    </row>
    <row r="82" spans="3:4" x14ac:dyDescent="0.3">
      <c r="C82" s="5" t="s">
        <v>4</v>
      </c>
      <c r="D82" s="4"/>
    </row>
    <row r="83" spans="3:4" x14ac:dyDescent="0.3">
      <c r="C83" s="5" t="s">
        <v>5</v>
      </c>
      <c r="D83" s="12"/>
    </row>
    <row r="84" spans="3:4" x14ac:dyDescent="0.3">
      <c r="C84" s="5" t="s">
        <v>6</v>
      </c>
      <c r="D84" s="12"/>
    </row>
    <row r="85" spans="3:4" x14ac:dyDescent="0.3">
      <c r="C85" s="5" t="s">
        <v>7</v>
      </c>
      <c r="D85" s="13"/>
    </row>
    <row r="86" spans="3:4" x14ac:dyDescent="0.3">
      <c r="C86" s="5" t="s">
        <v>8</v>
      </c>
      <c r="D86" s="13"/>
    </row>
    <row r="87" spans="3:4" x14ac:dyDescent="0.3">
      <c r="C87" s="5" t="s">
        <v>9</v>
      </c>
      <c r="D87" s="13"/>
    </row>
    <row r="88" spans="3:4" ht="14.5" thickBot="1" x14ac:dyDescent="0.35">
      <c r="C88" s="5" t="s">
        <v>10</v>
      </c>
      <c r="D88" s="13"/>
    </row>
    <row r="89" spans="3:4" ht="14.5" thickBot="1" x14ac:dyDescent="0.35">
      <c r="C89" s="15" t="s">
        <v>11</v>
      </c>
      <c r="D89" s="16">
        <f>SUM(D81:D88)</f>
        <v>0</v>
      </c>
    </row>
    <row r="90" spans="3:4" ht="14.5" thickBot="1" x14ac:dyDescent="0.35">
      <c r="C90" s="18"/>
      <c r="D90" s="9"/>
    </row>
    <row r="91" spans="3:4" x14ac:dyDescent="0.3">
      <c r="C91" s="42" t="s">
        <v>24</v>
      </c>
      <c r="D91" s="20">
        <f>D89+D72+D65+D57+D51+D43+D79</f>
        <v>197350</v>
      </c>
    </row>
    <row r="92" spans="3:4" ht="14.5" thickBot="1" x14ac:dyDescent="0.35">
      <c r="C92" s="43"/>
      <c r="D92" s="24"/>
    </row>
    <row r="93" spans="3:4" ht="14.5" thickBot="1" x14ac:dyDescent="0.35"/>
    <row r="94" spans="3:4" ht="14.5" thickBot="1" x14ac:dyDescent="0.35">
      <c r="C94" s="46" t="s">
        <v>29</v>
      </c>
      <c r="D94" s="47">
        <f>D17-D91</f>
        <v>152650</v>
      </c>
    </row>
    <row r="95" spans="3:4" ht="14.5" thickBot="1" x14ac:dyDescent="0.35">
      <c r="C95" s="53">
        <v>0.5</v>
      </c>
      <c r="D95" s="48">
        <f>D94*0.5</f>
        <v>76325</v>
      </c>
    </row>
    <row r="96" spans="3:4" ht="14.5" thickBot="1" x14ac:dyDescent="0.35">
      <c r="C96" s="54"/>
      <c r="D96" s="55"/>
    </row>
  </sheetData>
  <mergeCells count="2">
    <mergeCell ref="C3:E3"/>
    <mergeCell ref="D5:E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1C0C-CDC6-4E02-9325-0D6BA7FE0899}">
  <dimension ref="C2:F96"/>
  <sheetViews>
    <sheetView rightToLeft="1" topLeftCell="A77" workbookViewId="0">
      <selection activeCell="D91" sqref="D91"/>
    </sheetView>
  </sheetViews>
  <sheetFormatPr defaultRowHeight="14" x14ac:dyDescent="0.3"/>
  <cols>
    <col min="3" max="3" width="21.25" bestFit="1" customWidth="1"/>
    <col min="4" max="4" width="15.83203125" bestFit="1" customWidth="1"/>
    <col min="5" max="5" width="20.5" bestFit="1" customWidth="1"/>
  </cols>
  <sheetData>
    <row r="2" spans="3:6" x14ac:dyDescent="0.3">
      <c r="C2" t="s">
        <v>0</v>
      </c>
    </row>
    <row r="3" spans="3:6" ht="23" x14ac:dyDescent="0.3">
      <c r="C3" s="68" t="s">
        <v>14</v>
      </c>
      <c r="D3" s="68"/>
      <c r="E3" s="68"/>
      <c r="F3" s="8"/>
    </row>
    <row r="5" spans="3:6" ht="20" x14ac:dyDescent="0.4">
      <c r="C5" s="14" t="s">
        <v>15</v>
      </c>
      <c r="D5" s="69" t="s">
        <v>53</v>
      </c>
      <c r="E5" s="69"/>
    </row>
    <row r="6" spans="3:6" x14ac:dyDescent="0.3">
      <c r="D6" s="69"/>
      <c r="E6" s="69"/>
    </row>
    <row r="7" spans="3:6" ht="23" x14ac:dyDescent="0.5">
      <c r="C7" s="3" t="s">
        <v>1</v>
      </c>
      <c r="D7" s="1"/>
    </row>
    <row r="8" spans="3:6" ht="14.5" thickBot="1" x14ac:dyDescent="0.35"/>
    <row r="9" spans="3:6" ht="14.5" thickBot="1" x14ac:dyDescent="0.35">
      <c r="C9" s="15"/>
      <c r="D9" s="29" t="s">
        <v>70</v>
      </c>
      <c r="E9" s="30" t="s">
        <v>31</v>
      </c>
    </row>
    <row r="10" spans="3:6" x14ac:dyDescent="0.3">
      <c r="C10" s="32" t="s">
        <v>3</v>
      </c>
      <c r="D10" s="33">
        <v>110600</v>
      </c>
      <c r="E10" s="34"/>
    </row>
    <row r="11" spans="3:6" x14ac:dyDescent="0.3">
      <c r="C11" s="5" t="s">
        <v>4</v>
      </c>
      <c r="D11" s="9">
        <v>31600</v>
      </c>
      <c r="E11" s="52"/>
    </row>
    <row r="12" spans="3:6" x14ac:dyDescent="0.3">
      <c r="C12" s="5" t="s">
        <v>5</v>
      </c>
      <c r="D12" s="4"/>
      <c r="E12" s="52"/>
      <c r="F12" s="9"/>
    </row>
    <row r="13" spans="3:6" x14ac:dyDescent="0.3">
      <c r="C13" s="5" t="s">
        <v>6</v>
      </c>
      <c r="D13" s="4"/>
      <c r="E13" s="52"/>
    </row>
    <row r="14" spans="3:6" x14ac:dyDescent="0.3">
      <c r="C14" s="5" t="s">
        <v>7</v>
      </c>
      <c r="D14" s="4"/>
      <c r="E14" s="52"/>
    </row>
    <row r="15" spans="3:6" x14ac:dyDescent="0.3">
      <c r="C15" s="5" t="s">
        <v>8</v>
      </c>
      <c r="D15" s="4"/>
      <c r="E15" s="52"/>
    </row>
    <row r="16" spans="3:6" ht="14.5" thickBot="1" x14ac:dyDescent="0.35">
      <c r="C16" s="6" t="s">
        <v>17</v>
      </c>
      <c r="D16" s="31"/>
      <c r="E16" s="52"/>
    </row>
    <row r="17" spans="3:6" ht="14.5" thickBot="1" x14ac:dyDescent="0.35">
      <c r="C17" s="39" t="s">
        <v>11</v>
      </c>
      <c r="D17" s="41">
        <f>SUM(D11:D16)</f>
        <v>31600</v>
      </c>
      <c r="E17" s="40"/>
    </row>
    <row r="18" spans="3:6" ht="14.5" thickBot="1" x14ac:dyDescent="0.35">
      <c r="C18" s="37" t="s">
        <v>23</v>
      </c>
      <c r="D18" s="41">
        <f>D10-D17</f>
        <v>79000</v>
      </c>
      <c r="E18" s="38"/>
    </row>
    <row r="19" spans="3:6" x14ac:dyDescent="0.3">
      <c r="D19" s="9"/>
      <c r="E19" s="9"/>
    </row>
    <row r="20" spans="3:6" ht="20" x14ac:dyDescent="0.4">
      <c r="C20" s="2" t="s">
        <v>16</v>
      </c>
      <c r="D20" s="9"/>
      <c r="E20" s="9"/>
    </row>
    <row r="21" spans="3:6" ht="14.5" thickBot="1" x14ac:dyDescent="0.35">
      <c r="D21" s="9"/>
      <c r="E21" s="9"/>
    </row>
    <row r="22" spans="3:6" ht="14.5" thickBot="1" x14ac:dyDescent="0.35">
      <c r="C22" s="28" t="s">
        <v>18</v>
      </c>
      <c r="D22" s="29" t="s">
        <v>21</v>
      </c>
      <c r="E22" s="29" t="s">
        <v>22</v>
      </c>
      <c r="F22" s="30" t="s">
        <v>19</v>
      </c>
    </row>
    <row r="23" spans="3:6" x14ac:dyDescent="0.3">
      <c r="C23" s="26"/>
      <c r="D23" s="19"/>
      <c r="E23" s="19"/>
      <c r="F23" s="27"/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49"/>
      <c r="D27" s="19"/>
      <c r="E27" s="4"/>
      <c r="F27" s="21"/>
    </row>
    <row r="28" spans="3:6" x14ac:dyDescent="0.3">
      <c r="C28" s="49"/>
      <c r="D28" s="19"/>
      <c r="E28" s="4"/>
      <c r="F28" s="21"/>
    </row>
    <row r="29" spans="3:6" ht="14.5" thickBot="1" x14ac:dyDescent="0.35">
      <c r="C29" s="50"/>
      <c r="D29" s="10"/>
      <c r="E29" s="10"/>
      <c r="F29" s="51"/>
    </row>
    <row r="30" spans="3:6" ht="14.5" thickBot="1" x14ac:dyDescent="0.35">
      <c r="C30" s="25" t="s">
        <v>20</v>
      </c>
      <c r="D30" s="16"/>
      <c r="E30" s="16"/>
      <c r="F30" s="17">
        <f>SUM(F23:F29)</f>
        <v>0</v>
      </c>
    </row>
    <row r="31" spans="3:6" x14ac:dyDescent="0.3">
      <c r="D31" s="9"/>
      <c r="E31" s="9"/>
    </row>
    <row r="32" spans="3:6" x14ac:dyDescent="0.3">
      <c r="C32" s="44" t="s">
        <v>25</v>
      </c>
      <c r="D32" s="45">
        <f>F30+D10</f>
        <v>110600</v>
      </c>
      <c r="E32" s="9"/>
    </row>
    <row r="33" spans="3:5" x14ac:dyDescent="0.3">
      <c r="C33" s="44"/>
      <c r="D33" s="44"/>
      <c r="E33" s="9"/>
    </row>
    <row r="34" spans="3:5" x14ac:dyDescent="0.3">
      <c r="D34" s="9"/>
      <c r="E34" s="9"/>
    </row>
    <row r="35" spans="3:5" ht="23" x14ac:dyDescent="0.5">
      <c r="C35" s="3" t="s">
        <v>2</v>
      </c>
      <c r="D35" s="11"/>
      <c r="E35" s="11"/>
    </row>
    <row r="36" spans="3:5" ht="14.5" thickBot="1" x14ac:dyDescent="0.35">
      <c r="D36" s="9"/>
      <c r="E36" s="9"/>
    </row>
    <row r="37" spans="3:5" ht="14.5" thickBot="1" x14ac:dyDescent="0.35">
      <c r="C37" s="35" t="s">
        <v>12</v>
      </c>
      <c r="D37" s="36" t="s">
        <v>35</v>
      </c>
    </row>
    <row r="38" spans="3:5" x14ac:dyDescent="0.3">
      <c r="C38" s="5" t="s">
        <v>4</v>
      </c>
      <c r="D38" s="19">
        <v>3500</v>
      </c>
    </row>
    <row r="39" spans="3:5" x14ac:dyDescent="0.3">
      <c r="C39" s="5" t="s">
        <v>5</v>
      </c>
      <c r="D39" s="4">
        <v>6000</v>
      </c>
    </row>
    <row r="40" spans="3:5" x14ac:dyDescent="0.3">
      <c r="C40" s="5" t="s">
        <v>6</v>
      </c>
      <c r="D40" s="4">
        <v>10000</v>
      </c>
    </row>
    <row r="41" spans="3:5" x14ac:dyDescent="0.3">
      <c r="C41" s="5" t="s">
        <v>7</v>
      </c>
      <c r="D41" s="4"/>
    </row>
    <row r="42" spans="3:5" ht="14.5" thickBot="1" x14ac:dyDescent="0.35">
      <c r="C42" s="5" t="s">
        <v>8</v>
      </c>
      <c r="D42" s="4"/>
    </row>
    <row r="43" spans="3:5" ht="14.5" thickBot="1" x14ac:dyDescent="0.35">
      <c r="C43" s="15" t="s">
        <v>11</v>
      </c>
      <c r="D43" s="16">
        <f>SUM(D37:D42)</f>
        <v>19500</v>
      </c>
    </row>
    <row r="44" spans="3:5" ht="14.5" thickBot="1" x14ac:dyDescent="0.35">
      <c r="D44" s="9"/>
    </row>
    <row r="45" spans="3:5" x14ac:dyDescent="0.3">
      <c r="C45" s="7" t="s">
        <v>12</v>
      </c>
      <c r="D45" s="22" t="s">
        <v>71</v>
      </c>
    </row>
    <row r="46" spans="3:5" x14ac:dyDescent="0.3">
      <c r="C46" s="5" t="s">
        <v>4</v>
      </c>
      <c r="D46" s="4">
        <v>7000</v>
      </c>
    </row>
    <row r="47" spans="3:5" x14ac:dyDescent="0.3">
      <c r="C47" s="5" t="s">
        <v>5</v>
      </c>
      <c r="D47" s="4">
        <v>6500</v>
      </c>
    </row>
    <row r="48" spans="3:5" x14ac:dyDescent="0.3">
      <c r="C48" s="5" t="s">
        <v>6</v>
      </c>
      <c r="D48" s="4">
        <v>22411</v>
      </c>
    </row>
    <row r="49" spans="3:4" x14ac:dyDescent="0.3">
      <c r="C49" s="5" t="s">
        <v>7</v>
      </c>
      <c r="D49" s="4"/>
    </row>
    <row r="50" spans="3:4" ht="14.5" thickBot="1" x14ac:dyDescent="0.35">
      <c r="C50" s="5" t="s">
        <v>8</v>
      </c>
      <c r="D50" s="4"/>
    </row>
    <row r="51" spans="3:4" ht="14.5" thickBot="1" x14ac:dyDescent="0.35">
      <c r="C51" s="15" t="s">
        <v>11</v>
      </c>
      <c r="D51" s="16">
        <f>SUM(D45:D50)</f>
        <v>35911</v>
      </c>
    </row>
    <row r="52" spans="3:4" ht="14.5" thickBot="1" x14ac:dyDescent="0.35">
      <c r="D52" s="9"/>
    </row>
    <row r="53" spans="3:4" x14ac:dyDescent="0.3">
      <c r="C53" s="7" t="s">
        <v>12</v>
      </c>
      <c r="D53" s="22" t="s">
        <v>26</v>
      </c>
    </row>
    <row r="54" spans="3:4" x14ac:dyDescent="0.3">
      <c r="C54" s="5" t="s">
        <v>4</v>
      </c>
      <c r="D54" s="4"/>
    </row>
    <row r="55" spans="3:4" x14ac:dyDescent="0.3">
      <c r="C55" s="5" t="s">
        <v>5</v>
      </c>
      <c r="D55" s="4"/>
    </row>
    <row r="56" spans="3:4" ht="14.5" thickBot="1" x14ac:dyDescent="0.35">
      <c r="C56" s="5" t="s">
        <v>6</v>
      </c>
      <c r="D56" s="4"/>
    </row>
    <row r="57" spans="3:4" ht="14.5" thickBot="1" x14ac:dyDescent="0.35">
      <c r="C57" s="15" t="s">
        <v>11</v>
      </c>
      <c r="D57" s="16">
        <f>SUM(D53:D56)</f>
        <v>0</v>
      </c>
    </row>
    <row r="58" spans="3:4" ht="14.5" thickBot="1" x14ac:dyDescent="0.35">
      <c r="C58" s="18"/>
      <c r="D58" s="9"/>
    </row>
    <row r="59" spans="3:4" x14ac:dyDescent="0.3">
      <c r="C59" s="7" t="s">
        <v>12</v>
      </c>
      <c r="D59" s="22"/>
    </row>
    <row r="60" spans="3:4" x14ac:dyDescent="0.3">
      <c r="C60" s="5" t="s">
        <v>4</v>
      </c>
      <c r="D60" s="4"/>
    </row>
    <row r="61" spans="3:4" x14ac:dyDescent="0.3">
      <c r="C61" s="5" t="s">
        <v>5</v>
      </c>
      <c r="D61" s="4"/>
    </row>
    <row r="62" spans="3:4" x14ac:dyDescent="0.3">
      <c r="C62" s="5" t="s">
        <v>6</v>
      </c>
      <c r="D62" s="4"/>
    </row>
    <row r="63" spans="3:4" x14ac:dyDescent="0.3">
      <c r="C63" s="5" t="s">
        <v>7</v>
      </c>
      <c r="D63" s="4"/>
    </row>
    <row r="64" spans="3:4" ht="14.5" thickBot="1" x14ac:dyDescent="0.35">
      <c r="C64" s="5" t="s">
        <v>8</v>
      </c>
      <c r="D64" s="4"/>
    </row>
    <row r="65" spans="3:5" ht="14.5" thickBot="1" x14ac:dyDescent="0.35">
      <c r="C65" s="15" t="s">
        <v>11</v>
      </c>
      <c r="D65" s="16">
        <f>SUM(D59:D64)</f>
        <v>0</v>
      </c>
    </row>
    <row r="66" spans="3:5" ht="14.5" thickBot="1" x14ac:dyDescent="0.35">
      <c r="D66" s="9"/>
    </row>
    <row r="67" spans="3:5" x14ac:dyDescent="0.3">
      <c r="C67" s="7" t="s">
        <v>12</v>
      </c>
      <c r="D67" s="22" t="s">
        <v>27</v>
      </c>
    </row>
    <row r="68" spans="3:5" x14ac:dyDescent="0.3">
      <c r="C68" s="5" t="s">
        <v>4</v>
      </c>
      <c r="D68" s="4"/>
    </row>
    <row r="69" spans="3:5" x14ac:dyDescent="0.3">
      <c r="C69" s="5" t="s">
        <v>5</v>
      </c>
      <c r="D69" s="4"/>
    </row>
    <row r="70" spans="3:5" x14ac:dyDescent="0.3">
      <c r="C70" s="5" t="s">
        <v>6</v>
      </c>
      <c r="D70" s="4"/>
    </row>
    <row r="71" spans="3:5" ht="14.5" thickBot="1" x14ac:dyDescent="0.35">
      <c r="C71" s="6" t="s">
        <v>7</v>
      </c>
      <c r="D71" s="23"/>
    </row>
    <row r="72" spans="3:5" ht="14.5" thickBot="1" x14ac:dyDescent="0.35">
      <c r="C72" s="15" t="s">
        <v>11</v>
      </c>
      <c r="D72" s="16">
        <f>SUM(D67:D71)</f>
        <v>0</v>
      </c>
    </row>
    <row r="73" spans="3:5" ht="14.5" thickBot="1" x14ac:dyDescent="0.35">
      <c r="C73" s="18"/>
      <c r="D73" s="9"/>
    </row>
    <row r="74" spans="3:5" x14ac:dyDescent="0.3">
      <c r="C74" s="7" t="s">
        <v>12</v>
      </c>
      <c r="D74" s="22" t="s">
        <v>30</v>
      </c>
    </row>
    <row r="75" spans="3:5" x14ac:dyDescent="0.3">
      <c r="C75" s="5" t="s">
        <v>4</v>
      </c>
      <c r="D75" s="4">
        <v>800</v>
      </c>
    </row>
    <row r="76" spans="3:5" x14ac:dyDescent="0.3">
      <c r="C76" s="5" t="s">
        <v>5</v>
      </c>
      <c r="D76" s="4">
        <v>1200</v>
      </c>
    </row>
    <row r="77" spans="3:5" x14ac:dyDescent="0.3">
      <c r="C77" s="5" t="s">
        <v>6</v>
      </c>
      <c r="D77" s="4"/>
    </row>
    <row r="78" spans="3:5" ht="14.5" thickBot="1" x14ac:dyDescent="0.35">
      <c r="C78" s="6" t="s">
        <v>7</v>
      </c>
      <c r="D78" s="23"/>
    </row>
    <row r="79" spans="3:5" ht="14.5" thickBot="1" x14ac:dyDescent="0.35">
      <c r="C79" s="15" t="s">
        <v>11</v>
      </c>
      <c r="D79" s="16">
        <f>SUM(D74:D78)</f>
        <v>2000</v>
      </c>
    </row>
    <row r="80" spans="3:5" ht="14.5" thickBot="1" x14ac:dyDescent="0.35">
      <c r="D80" s="9"/>
      <c r="E80" s="9"/>
    </row>
    <row r="81" spans="3:4" x14ac:dyDescent="0.3">
      <c r="C81" s="7" t="s">
        <v>12</v>
      </c>
      <c r="D81" s="22" t="s">
        <v>28</v>
      </c>
    </row>
    <row r="82" spans="3:4" x14ac:dyDescent="0.3">
      <c r="C82" s="5" t="s">
        <v>4</v>
      </c>
      <c r="D82" s="4">
        <v>1610</v>
      </c>
    </row>
    <row r="83" spans="3:4" x14ac:dyDescent="0.3">
      <c r="C83" s="5" t="s">
        <v>5</v>
      </c>
      <c r="D83" s="12"/>
    </row>
    <row r="84" spans="3:4" x14ac:dyDescent="0.3">
      <c r="C84" s="5" t="s">
        <v>6</v>
      </c>
      <c r="D84" s="12"/>
    </row>
    <row r="85" spans="3:4" x14ac:dyDescent="0.3">
      <c r="C85" s="5" t="s">
        <v>7</v>
      </c>
      <c r="D85" s="13"/>
    </row>
    <row r="86" spans="3:4" x14ac:dyDescent="0.3">
      <c r="C86" s="5" t="s">
        <v>8</v>
      </c>
      <c r="D86" s="13"/>
    </row>
    <row r="87" spans="3:4" x14ac:dyDescent="0.3">
      <c r="C87" s="5" t="s">
        <v>9</v>
      </c>
      <c r="D87" s="13"/>
    </row>
    <row r="88" spans="3:4" ht="14.5" thickBot="1" x14ac:dyDescent="0.35">
      <c r="C88" s="5" t="s">
        <v>10</v>
      </c>
      <c r="D88" s="13"/>
    </row>
    <row r="89" spans="3:4" ht="14.5" thickBot="1" x14ac:dyDescent="0.35">
      <c r="C89" s="15" t="s">
        <v>11</v>
      </c>
      <c r="D89" s="16">
        <f>SUM(D81:D88)</f>
        <v>1610</v>
      </c>
    </row>
    <row r="90" spans="3:4" ht="14.5" thickBot="1" x14ac:dyDescent="0.35">
      <c r="C90" s="18"/>
      <c r="D90" s="9"/>
    </row>
    <row r="91" spans="3:4" x14ac:dyDescent="0.3">
      <c r="C91" s="42" t="s">
        <v>24</v>
      </c>
      <c r="D91" s="20">
        <f>D89+D72+D65+D57+D51+D43+D79</f>
        <v>59021</v>
      </c>
    </row>
    <row r="92" spans="3:4" ht="14.5" thickBot="1" x14ac:dyDescent="0.35">
      <c r="C92" s="43"/>
      <c r="D92" s="24"/>
    </row>
    <row r="93" spans="3:4" ht="14.5" thickBot="1" x14ac:dyDescent="0.35"/>
    <row r="94" spans="3:4" ht="14.5" thickBot="1" x14ac:dyDescent="0.35">
      <c r="C94" s="46" t="s">
        <v>29</v>
      </c>
      <c r="D94" s="47">
        <f>D10-D91</f>
        <v>51579</v>
      </c>
    </row>
    <row r="95" spans="3:4" ht="14.5" thickBot="1" x14ac:dyDescent="0.35">
      <c r="C95" s="53">
        <v>0.5</v>
      </c>
      <c r="D95" s="48">
        <f>D94*0.5</f>
        <v>25789.5</v>
      </c>
    </row>
    <row r="96" spans="3:4" ht="14.5" thickBot="1" x14ac:dyDescent="0.35">
      <c r="C96" s="54"/>
      <c r="D96" s="55"/>
    </row>
  </sheetData>
  <mergeCells count="2">
    <mergeCell ref="C3:E3"/>
    <mergeCell ref="D5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F714-0D7D-4534-9118-ADE744EF5EA5}">
  <dimension ref="C2:F96"/>
  <sheetViews>
    <sheetView rightToLeft="1" topLeftCell="A53" workbookViewId="0">
      <selection activeCell="E14" sqref="E14"/>
    </sheetView>
  </sheetViews>
  <sheetFormatPr defaultRowHeight="14" x14ac:dyDescent="0.3"/>
  <cols>
    <col min="3" max="3" width="21.25" bestFit="1" customWidth="1"/>
    <col min="4" max="4" width="15.83203125" bestFit="1" customWidth="1"/>
    <col min="5" max="5" width="20.5" bestFit="1" customWidth="1"/>
  </cols>
  <sheetData>
    <row r="2" spans="3:6" x14ac:dyDescent="0.3">
      <c r="C2" t="s">
        <v>0</v>
      </c>
    </row>
    <row r="3" spans="3:6" ht="23" x14ac:dyDescent="0.3">
      <c r="C3" s="68" t="s">
        <v>14</v>
      </c>
      <c r="D3" s="68"/>
      <c r="E3" s="68"/>
      <c r="F3" s="8"/>
    </row>
    <row r="5" spans="3:6" ht="20" x14ac:dyDescent="0.4">
      <c r="C5" s="14" t="s">
        <v>15</v>
      </c>
      <c r="D5" s="69" t="s">
        <v>53</v>
      </c>
      <c r="E5" s="69"/>
    </row>
    <row r="6" spans="3:6" x14ac:dyDescent="0.3">
      <c r="D6" s="69"/>
      <c r="E6" s="69"/>
    </row>
    <row r="7" spans="3:6" ht="23" x14ac:dyDescent="0.5">
      <c r="C7" s="3" t="s">
        <v>1</v>
      </c>
      <c r="D7" s="1"/>
    </row>
    <row r="8" spans="3:6" ht="14.5" thickBot="1" x14ac:dyDescent="0.35"/>
    <row r="9" spans="3:6" ht="14.5" thickBot="1" x14ac:dyDescent="0.35">
      <c r="C9" s="15"/>
      <c r="D9" s="29" t="s">
        <v>55</v>
      </c>
      <c r="E9" s="30" t="s">
        <v>31</v>
      </c>
    </row>
    <row r="10" spans="3:6" x14ac:dyDescent="0.3">
      <c r="C10" s="32" t="s">
        <v>3</v>
      </c>
      <c r="D10" s="33">
        <v>65000</v>
      </c>
      <c r="E10" s="34"/>
    </row>
    <row r="11" spans="3:6" x14ac:dyDescent="0.3">
      <c r="C11" s="5" t="s">
        <v>4</v>
      </c>
      <c r="D11" s="9">
        <v>65000</v>
      </c>
      <c r="E11" s="52"/>
    </row>
    <row r="12" spans="3:6" x14ac:dyDescent="0.3">
      <c r="C12" s="5" t="s">
        <v>5</v>
      </c>
      <c r="D12" s="4" t="s">
        <v>93</v>
      </c>
      <c r="E12" s="52"/>
      <c r="F12" s="9"/>
    </row>
    <row r="13" spans="3:6" x14ac:dyDescent="0.3">
      <c r="C13" s="5" t="s">
        <v>6</v>
      </c>
      <c r="D13" s="4"/>
      <c r="E13" s="52"/>
    </row>
    <row r="14" spans="3:6" x14ac:dyDescent="0.3">
      <c r="C14" s="5" t="s">
        <v>7</v>
      </c>
      <c r="D14" s="4"/>
      <c r="E14" s="52"/>
    </row>
    <row r="15" spans="3:6" x14ac:dyDescent="0.3">
      <c r="C15" s="5" t="s">
        <v>8</v>
      </c>
      <c r="D15" s="4"/>
      <c r="E15" s="52"/>
    </row>
    <row r="16" spans="3:6" ht="14.5" thickBot="1" x14ac:dyDescent="0.35">
      <c r="C16" s="6" t="s">
        <v>17</v>
      </c>
      <c r="D16" s="31"/>
      <c r="E16" s="52"/>
    </row>
    <row r="17" spans="3:6" ht="14.5" thickBot="1" x14ac:dyDescent="0.35">
      <c r="C17" s="39" t="s">
        <v>11</v>
      </c>
      <c r="D17" s="41">
        <f>SUM(D11:D16)</f>
        <v>65000</v>
      </c>
      <c r="E17" s="40"/>
    </row>
    <row r="18" spans="3:6" ht="14.5" thickBot="1" x14ac:dyDescent="0.35">
      <c r="C18" s="37" t="s">
        <v>23</v>
      </c>
      <c r="D18" s="41">
        <f>D10-D17</f>
        <v>0</v>
      </c>
      <c r="E18" s="38"/>
    </row>
    <row r="19" spans="3:6" x14ac:dyDescent="0.3">
      <c r="D19" s="9"/>
      <c r="E19" s="9"/>
    </row>
    <row r="20" spans="3:6" ht="20" x14ac:dyDescent="0.4">
      <c r="C20" s="2" t="s">
        <v>16</v>
      </c>
      <c r="D20" s="9"/>
      <c r="E20" s="9"/>
    </row>
    <row r="21" spans="3:6" ht="14.5" thickBot="1" x14ac:dyDescent="0.35">
      <c r="D21" s="9"/>
      <c r="E21" s="9"/>
    </row>
    <row r="22" spans="3:6" ht="14.5" thickBot="1" x14ac:dyDescent="0.35">
      <c r="C22" s="28" t="s">
        <v>18</v>
      </c>
      <c r="D22" s="29" t="s">
        <v>21</v>
      </c>
      <c r="E22" s="29" t="s">
        <v>22</v>
      </c>
      <c r="F22" s="30" t="s">
        <v>19</v>
      </c>
    </row>
    <row r="23" spans="3:6" x14ac:dyDescent="0.3">
      <c r="C23" s="26"/>
      <c r="D23" s="19"/>
      <c r="E23" s="19"/>
      <c r="F23" s="27"/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49"/>
      <c r="D27" s="19"/>
      <c r="E27" s="4"/>
      <c r="F27" s="21"/>
    </row>
    <row r="28" spans="3:6" x14ac:dyDescent="0.3">
      <c r="C28" s="49"/>
      <c r="D28" s="19"/>
      <c r="E28" s="4"/>
      <c r="F28" s="21"/>
    </row>
    <row r="29" spans="3:6" ht="14.5" thickBot="1" x14ac:dyDescent="0.35">
      <c r="C29" s="50"/>
      <c r="D29" s="10"/>
      <c r="E29" s="10"/>
      <c r="F29" s="51"/>
    </row>
    <row r="30" spans="3:6" ht="14.5" thickBot="1" x14ac:dyDescent="0.35">
      <c r="C30" s="25" t="s">
        <v>20</v>
      </c>
      <c r="D30" s="16"/>
      <c r="E30" s="16"/>
      <c r="F30" s="17">
        <f>SUM(F23:F29)</f>
        <v>0</v>
      </c>
    </row>
    <row r="31" spans="3:6" x14ac:dyDescent="0.3">
      <c r="D31" s="9"/>
      <c r="E31" s="9"/>
    </row>
    <row r="32" spans="3:6" x14ac:dyDescent="0.3">
      <c r="C32" s="44" t="s">
        <v>25</v>
      </c>
      <c r="D32" s="45">
        <v>70350</v>
      </c>
      <c r="E32" s="9"/>
    </row>
    <row r="33" spans="3:5" x14ac:dyDescent="0.3">
      <c r="C33" s="44"/>
      <c r="D33" s="44"/>
      <c r="E33" s="9"/>
    </row>
    <row r="34" spans="3:5" x14ac:dyDescent="0.3">
      <c r="D34" s="9"/>
      <c r="E34" s="9"/>
    </row>
    <row r="35" spans="3:5" ht="23" x14ac:dyDescent="0.5">
      <c r="C35" s="3" t="s">
        <v>2</v>
      </c>
      <c r="D35" s="11"/>
      <c r="E35" s="11"/>
    </row>
    <row r="36" spans="3:5" ht="14.5" thickBot="1" x14ac:dyDescent="0.35">
      <c r="D36" s="9"/>
      <c r="E36" s="9"/>
    </row>
    <row r="37" spans="3:5" ht="14.5" thickBot="1" x14ac:dyDescent="0.35">
      <c r="C37" s="35" t="s">
        <v>12</v>
      </c>
      <c r="D37" s="36" t="s">
        <v>35</v>
      </c>
    </row>
    <row r="38" spans="3:5" x14ac:dyDescent="0.3">
      <c r="C38" s="5" t="s">
        <v>4</v>
      </c>
      <c r="D38" s="19">
        <v>13000</v>
      </c>
    </row>
    <row r="39" spans="3:5" x14ac:dyDescent="0.3">
      <c r="C39" s="5" t="s">
        <v>5</v>
      </c>
      <c r="D39" s="4"/>
    </row>
    <row r="40" spans="3:5" x14ac:dyDescent="0.3">
      <c r="C40" s="5" t="s">
        <v>6</v>
      </c>
      <c r="D40" s="4"/>
    </row>
    <row r="41" spans="3:5" x14ac:dyDescent="0.3">
      <c r="C41" s="5" t="s">
        <v>7</v>
      </c>
      <c r="D41" s="4"/>
    </row>
    <row r="42" spans="3:5" ht="14.5" thickBot="1" x14ac:dyDescent="0.35">
      <c r="C42" s="5" t="s">
        <v>8</v>
      </c>
      <c r="D42" s="4"/>
    </row>
    <row r="43" spans="3:5" ht="14.5" thickBot="1" x14ac:dyDescent="0.35">
      <c r="C43" s="15" t="s">
        <v>11</v>
      </c>
      <c r="D43" s="16">
        <f>SUM(D37:D42)</f>
        <v>13000</v>
      </c>
    </row>
    <row r="44" spans="3:5" ht="14.5" thickBot="1" x14ac:dyDescent="0.35">
      <c r="D44" s="9"/>
    </row>
    <row r="45" spans="3:5" x14ac:dyDescent="0.3">
      <c r="C45" s="7" t="s">
        <v>12</v>
      </c>
      <c r="D45" s="22" t="s">
        <v>56</v>
      </c>
    </row>
    <row r="46" spans="3:5" x14ac:dyDescent="0.3">
      <c r="C46" s="5" t="s">
        <v>4</v>
      </c>
      <c r="D46" s="4">
        <v>13000</v>
      </c>
    </row>
    <row r="47" spans="3:5" x14ac:dyDescent="0.3">
      <c r="C47" s="5" t="s">
        <v>5</v>
      </c>
      <c r="D47" s="4">
        <v>240</v>
      </c>
      <c r="E47" t="s">
        <v>92</v>
      </c>
    </row>
    <row r="48" spans="3:5" x14ac:dyDescent="0.3">
      <c r="C48" s="5" t="s">
        <v>6</v>
      </c>
      <c r="D48" s="4"/>
    </row>
    <row r="49" spans="3:4" x14ac:dyDescent="0.3">
      <c r="C49" s="5" t="s">
        <v>7</v>
      </c>
      <c r="D49" s="4"/>
    </row>
    <row r="50" spans="3:4" ht="14.5" thickBot="1" x14ac:dyDescent="0.35">
      <c r="C50" s="5" t="s">
        <v>8</v>
      </c>
      <c r="D50" s="4"/>
    </row>
    <row r="51" spans="3:4" ht="14.5" thickBot="1" x14ac:dyDescent="0.35">
      <c r="C51" s="15" t="s">
        <v>11</v>
      </c>
      <c r="D51" s="16">
        <f>SUM(D45:D50)</f>
        <v>13240</v>
      </c>
    </row>
    <row r="52" spans="3:4" ht="14.5" thickBot="1" x14ac:dyDescent="0.35">
      <c r="D52" s="9"/>
    </row>
    <row r="53" spans="3:4" x14ac:dyDescent="0.3">
      <c r="C53" s="7" t="s">
        <v>12</v>
      </c>
      <c r="D53" s="22" t="s">
        <v>26</v>
      </c>
    </row>
    <row r="54" spans="3:4" x14ac:dyDescent="0.3">
      <c r="C54" s="5" t="s">
        <v>4</v>
      </c>
      <c r="D54" s="4">
        <v>20000</v>
      </c>
    </row>
    <row r="55" spans="3:4" x14ac:dyDescent="0.3">
      <c r="C55" s="5" t="s">
        <v>5</v>
      </c>
      <c r="D55" s="4"/>
    </row>
    <row r="56" spans="3:4" ht="14.5" thickBot="1" x14ac:dyDescent="0.35">
      <c r="C56" s="5" t="s">
        <v>6</v>
      </c>
      <c r="D56" s="4"/>
    </row>
    <row r="57" spans="3:4" ht="14.5" thickBot="1" x14ac:dyDescent="0.35">
      <c r="C57" s="15" t="s">
        <v>11</v>
      </c>
      <c r="D57" s="16">
        <f>SUM(D53:D56)</f>
        <v>20000</v>
      </c>
    </row>
    <row r="58" spans="3:4" ht="14.5" thickBot="1" x14ac:dyDescent="0.35">
      <c r="C58" s="18"/>
      <c r="D58" s="9"/>
    </row>
    <row r="59" spans="3:4" x14ac:dyDescent="0.3">
      <c r="C59" s="7" t="s">
        <v>12</v>
      </c>
      <c r="D59" s="22" t="s">
        <v>27</v>
      </c>
    </row>
    <row r="60" spans="3:4" x14ac:dyDescent="0.3">
      <c r="C60" s="5" t="s">
        <v>4</v>
      </c>
      <c r="D60" s="4">
        <v>2492</v>
      </c>
    </row>
    <row r="61" spans="3:4" x14ac:dyDescent="0.3">
      <c r="C61" s="5" t="s">
        <v>5</v>
      </c>
      <c r="D61" s="4"/>
    </row>
    <row r="62" spans="3:4" x14ac:dyDescent="0.3">
      <c r="C62" s="5" t="s">
        <v>6</v>
      </c>
      <c r="D62" s="4"/>
    </row>
    <row r="63" spans="3:4" x14ac:dyDescent="0.3">
      <c r="C63" s="5" t="s">
        <v>7</v>
      </c>
      <c r="D63" s="4"/>
    </row>
    <row r="64" spans="3:4" ht="14.5" thickBot="1" x14ac:dyDescent="0.35">
      <c r="C64" s="5" t="s">
        <v>8</v>
      </c>
      <c r="D64" s="4"/>
    </row>
    <row r="65" spans="3:5" ht="14.5" thickBot="1" x14ac:dyDescent="0.35">
      <c r="C65" s="15" t="s">
        <v>11</v>
      </c>
      <c r="D65" s="16">
        <f>SUM(D59:D64)</f>
        <v>2492</v>
      </c>
    </row>
    <row r="66" spans="3:5" ht="14.5" thickBot="1" x14ac:dyDescent="0.35">
      <c r="D66" s="9"/>
    </row>
    <row r="67" spans="3:5" x14ac:dyDescent="0.3">
      <c r="C67" s="7" t="s">
        <v>12</v>
      </c>
      <c r="D67" s="22" t="s">
        <v>27</v>
      </c>
    </row>
    <row r="68" spans="3:5" x14ac:dyDescent="0.3">
      <c r="C68" s="5" t="s">
        <v>4</v>
      </c>
      <c r="D68" s="4"/>
    </row>
    <row r="69" spans="3:5" x14ac:dyDescent="0.3">
      <c r="C69" s="5" t="s">
        <v>5</v>
      </c>
      <c r="D69" s="4"/>
    </row>
    <row r="70" spans="3:5" x14ac:dyDescent="0.3">
      <c r="C70" s="5" t="s">
        <v>6</v>
      </c>
      <c r="D70" s="4"/>
    </row>
    <row r="71" spans="3:5" ht="14.5" thickBot="1" x14ac:dyDescent="0.35">
      <c r="C71" s="6" t="s">
        <v>7</v>
      </c>
      <c r="D71" s="23"/>
    </row>
    <row r="72" spans="3:5" ht="14.5" thickBot="1" x14ac:dyDescent="0.35">
      <c r="C72" s="15" t="s">
        <v>11</v>
      </c>
      <c r="D72" s="16">
        <f>SUM(D67:D71)</f>
        <v>0</v>
      </c>
    </row>
    <row r="73" spans="3:5" ht="14.5" thickBot="1" x14ac:dyDescent="0.35">
      <c r="C73" s="18"/>
      <c r="D73" s="9"/>
    </row>
    <row r="74" spans="3:5" x14ac:dyDescent="0.3">
      <c r="C74" s="7" t="s">
        <v>12</v>
      </c>
      <c r="D74" s="22" t="s">
        <v>30</v>
      </c>
    </row>
    <row r="75" spans="3:5" x14ac:dyDescent="0.3">
      <c r="C75" s="5" t="s">
        <v>4</v>
      </c>
      <c r="D75" s="4"/>
    </row>
    <row r="76" spans="3:5" x14ac:dyDescent="0.3">
      <c r="C76" s="5" t="s">
        <v>5</v>
      </c>
      <c r="D76" s="4"/>
    </row>
    <row r="77" spans="3:5" x14ac:dyDescent="0.3">
      <c r="C77" s="5" t="s">
        <v>6</v>
      </c>
      <c r="D77" s="4"/>
    </row>
    <row r="78" spans="3:5" ht="14.5" thickBot="1" x14ac:dyDescent="0.35">
      <c r="C78" s="6" t="s">
        <v>7</v>
      </c>
      <c r="D78" s="23"/>
    </row>
    <row r="79" spans="3:5" ht="14.5" thickBot="1" x14ac:dyDescent="0.35">
      <c r="C79" s="15" t="s">
        <v>11</v>
      </c>
      <c r="D79" s="16">
        <f>SUM(D74:D78)</f>
        <v>0</v>
      </c>
    </row>
    <row r="80" spans="3:5" ht="14.5" thickBot="1" x14ac:dyDescent="0.35">
      <c r="D80" s="9"/>
      <c r="E80" s="9"/>
    </row>
    <row r="81" spans="3:4" x14ac:dyDescent="0.3">
      <c r="C81" s="7" t="s">
        <v>12</v>
      </c>
      <c r="D81" s="22" t="s">
        <v>28</v>
      </c>
    </row>
    <row r="82" spans="3:4" x14ac:dyDescent="0.3">
      <c r="C82" s="5" t="s">
        <v>4</v>
      </c>
      <c r="D82" s="4"/>
    </row>
    <row r="83" spans="3:4" x14ac:dyDescent="0.3">
      <c r="C83" s="5" t="s">
        <v>5</v>
      </c>
      <c r="D83" s="12"/>
    </row>
    <row r="84" spans="3:4" x14ac:dyDescent="0.3">
      <c r="C84" s="5" t="s">
        <v>6</v>
      </c>
      <c r="D84" s="12"/>
    </row>
    <row r="85" spans="3:4" x14ac:dyDescent="0.3">
      <c r="C85" s="5" t="s">
        <v>7</v>
      </c>
      <c r="D85" s="13"/>
    </row>
    <row r="86" spans="3:4" x14ac:dyDescent="0.3">
      <c r="C86" s="5" t="s">
        <v>8</v>
      </c>
      <c r="D86" s="13"/>
    </row>
    <row r="87" spans="3:4" x14ac:dyDescent="0.3">
      <c r="C87" s="5" t="s">
        <v>9</v>
      </c>
      <c r="D87" s="13"/>
    </row>
    <row r="88" spans="3:4" ht="14.5" thickBot="1" x14ac:dyDescent="0.35">
      <c r="C88" s="5" t="s">
        <v>10</v>
      </c>
      <c r="D88" s="13"/>
    </row>
    <row r="89" spans="3:4" ht="14.5" thickBot="1" x14ac:dyDescent="0.35">
      <c r="C89" s="15" t="s">
        <v>11</v>
      </c>
      <c r="D89" s="16">
        <f>SUM(D81:D88)</f>
        <v>0</v>
      </c>
    </row>
    <row r="90" spans="3:4" ht="14.5" thickBot="1" x14ac:dyDescent="0.35">
      <c r="C90" s="18"/>
      <c r="D90" s="9"/>
    </row>
    <row r="91" spans="3:4" x14ac:dyDescent="0.3">
      <c r="C91" s="42" t="s">
        <v>24</v>
      </c>
      <c r="D91" s="20">
        <f>D89+D72+D65+D57+D51+D43+D79</f>
        <v>48732</v>
      </c>
    </row>
    <row r="92" spans="3:4" ht="14.5" thickBot="1" x14ac:dyDescent="0.35">
      <c r="C92" s="43"/>
      <c r="D92" s="24"/>
    </row>
    <row r="93" spans="3:4" ht="14.5" thickBot="1" x14ac:dyDescent="0.35"/>
    <row r="94" spans="3:4" ht="14.5" thickBot="1" x14ac:dyDescent="0.35">
      <c r="C94" s="46" t="s">
        <v>29</v>
      </c>
      <c r="D94" s="47">
        <f>D17-D91</f>
        <v>16268</v>
      </c>
    </row>
    <row r="95" spans="3:4" ht="14.5" thickBot="1" x14ac:dyDescent="0.35">
      <c r="C95" s="53">
        <v>0.5</v>
      </c>
      <c r="D95" s="48">
        <f>D94*0.5</f>
        <v>8134</v>
      </c>
    </row>
    <row r="96" spans="3:4" ht="14.5" thickBot="1" x14ac:dyDescent="0.35">
      <c r="C96" s="54"/>
      <c r="D96" s="55"/>
    </row>
  </sheetData>
  <mergeCells count="2">
    <mergeCell ref="C3:E3"/>
    <mergeCell ref="D5:E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69BF-BD59-42F0-A082-02790A29A1EC}">
  <dimension ref="C2:F96"/>
  <sheetViews>
    <sheetView rightToLeft="1" topLeftCell="A73" workbookViewId="0">
      <selection activeCell="G67" sqref="G67"/>
    </sheetView>
  </sheetViews>
  <sheetFormatPr defaultRowHeight="14" x14ac:dyDescent="0.3"/>
  <cols>
    <col min="3" max="3" width="21.25" bestFit="1" customWidth="1"/>
    <col min="4" max="4" width="15.83203125" bestFit="1" customWidth="1"/>
    <col min="5" max="5" width="20.5" bestFit="1" customWidth="1"/>
  </cols>
  <sheetData>
    <row r="2" spans="3:6" x14ac:dyDescent="0.3">
      <c r="C2" t="s">
        <v>0</v>
      </c>
    </row>
    <row r="3" spans="3:6" ht="23" x14ac:dyDescent="0.3">
      <c r="C3" s="68" t="s">
        <v>14</v>
      </c>
      <c r="D3" s="68"/>
      <c r="E3" s="68"/>
      <c r="F3" s="8"/>
    </row>
    <row r="5" spans="3:6" ht="20" x14ac:dyDescent="0.4">
      <c r="C5" s="14" t="s">
        <v>15</v>
      </c>
      <c r="D5" s="69" t="s">
        <v>53</v>
      </c>
      <c r="E5" s="69"/>
    </row>
    <row r="6" spans="3:6" x14ac:dyDescent="0.3">
      <c r="D6" s="69"/>
      <c r="E6" s="69"/>
    </row>
    <row r="7" spans="3:6" ht="23" x14ac:dyDescent="0.5">
      <c r="C7" s="3" t="s">
        <v>1</v>
      </c>
      <c r="D7" s="1"/>
    </row>
    <row r="8" spans="3:6" ht="14.5" thickBot="1" x14ac:dyDescent="0.35"/>
    <row r="9" spans="3:6" ht="14.5" thickBot="1" x14ac:dyDescent="0.35">
      <c r="C9" s="15"/>
      <c r="D9" s="29" t="s">
        <v>55</v>
      </c>
      <c r="E9" s="30" t="s">
        <v>31</v>
      </c>
    </row>
    <row r="10" spans="3:6" x14ac:dyDescent="0.3">
      <c r="C10" s="32" t="s">
        <v>3</v>
      </c>
      <c r="D10" s="33">
        <v>190000</v>
      </c>
      <c r="E10" s="34"/>
    </row>
    <row r="11" spans="3:6" x14ac:dyDescent="0.3">
      <c r="C11" s="5" t="s">
        <v>4</v>
      </c>
      <c r="D11" s="9">
        <v>190000</v>
      </c>
      <c r="E11" s="52"/>
    </row>
    <row r="12" spans="3:6" x14ac:dyDescent="0.3">
      <c r="C12" s="5" t="s">
        <v>5</v>
      </c>
      <c r="D12" s="4"/>
      <c r="E12" s="52"/>
      <c r="F12" s="9"/>
    </row>
    <row r="13" spans="3:6" x14ac:dyDescent="0.3">
      <c r="C13" s="5" t="s">
        <v>6</v>
      </c>
      <c r="D13" s="4"/>
      <c r="E13" s="52"/>
    </row>
    <row r="14" spans="3:6" x14ac:dyDescent="0.3">
      <c r="C14" s="5" t="s">
        <v>7</v>
      </c>
      <c r="D14" s="4"/>
      <c r="E14" s="52"/>
    </row>
    <row r="15" spans="3:6" x14ac:dyDescent="0.3">
      <c r="C15" s="5" t="s">
        <v>8</v>
      </c>
      <c r="D15" s="4"/>
      <c r="E15" s="52"/>
    </row>
    <row r="16" spans="3:6" ht="14.5" thickBot="1" x14ac:dyDescent="0.35">
      <c r="C16" s="6" t="s">
        <v>17</v>
      </c>
      <c r="D16" s="31"/>
      <c r="E16" s="52"/>
    </row>
    <row r="17" spans="3:6" ht="14.5" thickBot="1" x14ac:dyDescent="0.35">
      <c r="C17" s="39" t="s">
        <v>11</v>
      </c>
      <c r="D17" s="41">
        <f>SUM(D11:D16)</f>
        <v>190000</v>
      </c>
      <c r="E17" s="40"/>
    </row>
    <row r="18" spans="3:6" ht="14.5" thickBot="1" x14ac:dyDescent="0.35">
      <c r="C18" s="37" t="s">
        <v>23</v>
      </c>
      <c r="D18" s="41">
        <f>D10-D17</f>
        <v>0</v>
      </c>
      <c r="E18" s="38"/>
    </row>
    <row r="19" spans="3:6" x14ac:dyDescent="0.3">
      <c r="D19" s="9"/>
      <c r="E19" s="9"/>
    </row>
    <row r="20" spans="3:6" ht="20" x14ac:dyDescent="0.4">
      <c r="C20" s="2" t="s">
        <v>16</v>
      </c>
      <c r="D20" s="9"/>
      <c r="E20" s="9"/>
    </row>
    <row r="21" spans="3:6" ht="14.5" thickBot="1" x14ac:dyDescent="0.35">
      <c r="D21" s="9"/>
      <c r="E21" s="9"/>
    </row>
    <row r="22" spans="3:6" ht="14.5" thickBot="1" x14ac:dyDescent="0.35">
      <c r="C22" s="28" t="s">
        <v>18</v>
      </c>
      <c r="D22" s="29" t="s">
        <v>21</v>
      </c>
      <c r="E22" s="29" t="s">
        <v>22</v>
      </c>
      <c r="F22" s="30" t="s">
        <v>19</v>
      </c>
    </row>
    <row r="23" spans="3:6" x14ac:dyDescent="0.3">
      <c r="C23" s="26"/>
      <c r="D23" s="19"/>
      <c r="E23" s="19"/>
      <c r="F23" s="27"/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49"/>
      <c r="D27" s="19"/>
      <c r="E27" s="4"/>
      <c r="F27" s="21"/>
    </row>
    <row r="28" spans="3:6" x14ac:dyDescent="0.3">
      <c r="C28" s="49"/>
      <c r="D28" s="19"/>
      <c r="E28" s="4"/>
      <c r="F28" s="21"/>
    </row>
    <row r="29" spans="3:6" ht="14.5" thickBot="1" x14ac:dyDescent="0.35">
      <c r="C29" s="50"/>
      <c r="D29" s="10"/>
      <c r="E29" s="10"/>
      <c r="F29" s="51"/>
    </row>
    <row r="30" spans="3:6" ht="14.5" thickBot="1" x14ac:dyDescent="0.35">
      <c r="C30" s="25" t="s">
        <v>20</v>
      </c>
      <c r="D30" s="16"/>
      <c r="E30" s="16"/>
      <c r="F30" s="17">
        <f>SUM(F23:F29)</f>
        <v>0</v>
      </c>
    </row>
    <row r="31" spans="3:6" x14ac:dyDescent="0.3">
      <c r="D31" s="9"/>
      <c r="E31" s="9"/>
    </row>
    <row r="32" spans="3:6" x14ac:dyDescent="0.3">
      <c r="C32" s="44" t="s">
        <v>25</v>
      </c>
      <c r="D32" s="45">
        <f>F30+D10</f>
        <v>190000</v>
      </c>
      <c r="E32" s="9"/>
    </row>
    <row r="33" spans="3:5" x14ac:dyDescent="0.3">
      <c r="C33" s="44"/>
      <c r="D33" s="44"/>
      <c r="E33" s="9"/>
    </row>
    <row r="34" spans="3:5" x14ac:dyDescent="0.3">
      <c r="D34" s="9"/>
      <c r="E34" s="9"/>
    </row>
    <row r="35" spans="3:5" ht="23" x14ac:dyDescent="0.5">
      <c r="C35" s="3" t="s">
        <v>2</v>
      </c>
      <c r="D35" s="11"/>
      <c r="E35" s="11"/>
    </row>
    <row r="36" spans="3:5" ht="14.5" thickBot="1" x14ac:dyDescent="0.35">
      <c r="D36" s="9"/>
      <c r="E36" s="9"/>
    </row>
    <row r="37" spans="3:5" ht="14.5" thickBot="1" x14ac:dyDescent="0.35">
      <c r="C37" s="35" t="s">
        <v>12</v>
      </c>
      <c r="D37" s="36" t="s">
        <v>35</v>
      </c>
    </row>
    <row r="38" spans="3:5" x14ac:dyDescent="0.3">
      <c r="C38" s="5" t="s">
        <v>4</v>
      </c>
      <c r="D38" s="19">
        <v>22000</v>
      </c>
    </row>
    <row r="39" spans="3:5" x14ac:dyDescent="0.3">
      <c r="C39" s="5" t="s">
        <v>5</v>
      </c>
      <c r="D39" s="4">
        <v>10000</v>
      </c>
    </row>
    <row r="40" spans="3:5" x14ac:dyDescent="0.3">
      <c r="C40" s="5" t="s">
        <v>6</v>
      </c>
      <c r="D40" s="4"/>
    </row>
    <row r="41" spans="3:5" x14ac:dyDescent="0.3">
      <c r="C41" s="5" t="s">
        <v>7</v>
      </c>
      <c r="D41" s="4"/>
    </row>
    <row r="42" spans="3:5" ht="14.5" thickBot="1" x14ac:dyDescent="0.35">
      <c r="C42" s="5" t="s">
        <v>8</v>
      </c>
      <c r="D42" s="4"/>
    </row>
    <row r="43" spans="3:5" ht="14.5" thickBot="1" x14ac:dyDescent="0.35">
      <c r="C43" s="15" t="s">
        <v>11</v>
      </c>
      <c r="D43" s="16">
        <f>SUM(D37:D42)</f>
        <v>32000</v>
      </c>
    </row>
    <row r="44" spans="3:5" ht="14.5" thickBot="1" x14ac:dyDescent="0.35">
      <c r="D44" s="9"/>
    </row>
    <row r="45" spans="3:5" x14ac:dyDescent="0.3">
      <c r="C45" s="7" t="s">
        <v>12</v>
      </c>
      <c r="D45" s="22" t="s">
        <v>56</v>
      </c>
    </row>
    <row r="46" spans="3:5" x14ac:dyDescent="0.3">
      <c r="C46" s="5" t="s">
        <v>4</v>
      </c>
      <c r="D46" s="4">
        <v>15634</v>
      </c>
    </row>
    <row r="47" spans="3:5" x14ac:dyDescent="0.3">
      <c r="C47" s="5" t="s">
        <v>5</v>
      </c>
      <c r="D47" s="4">
        <v>11449</v>
      </c>
    </row>
    <row r="48" spans="3:5" x14ac:dyDescent="0.3">
      <c r="C48" s="5" t="s">
        <v>6</v>
      </c>
      <c r="D48" s="4">
        <v>640</v>
      </c>
    </row>
    <row r="49" spans="3:4" x14ac:dyDescent="0.3">
      <c r="C49" s="5" t="s">
        <v>7</v>
      </c>
      <c r="D49" s="4"/>
    </row>
    <row r="50" spans="3:4" ht="14.5" thickBot="1" x14ac:dyDescent="0.35">
      <c r="C50" s="5" t="s">
        <v>8</v>
      </c>
      <c r="D50" s="4"/>
    </row>
    <row r="51" spans="3:4" ht="14.5" thickBot="1" x14ac:dyDescent="0.35">
      <c r="C51" s="15" t="s">
        <v>11</v>
      </c>
      <c r="D51" s="16">
        <f>SUM(D45:D50)</f>
        <v>27723</v>
      </c>
    </row>
    <row r="52" spans="3:4" ht="14.5" thickBot="1" x14ac:dyDescent="0.35">
      <c r="D52" s="9"/>
    </row>
    <row r="53" spans="3:4" x14ac:dyDescent="0.3">
      <c r="C53" s="7" t="s">
        <v>12</v>
      </c>
      <c r="D53" s="22" t="s">
        <v>26</v>
      </c>
    </row>
    <row r="54" spans="3:4" x14ac:dyDescent="0.3">
      <c r="C54" s="5" t="s">
        <v>4</v>
      </c>
      <c r="D54" s="4">
        <v>30000</v>
      </c>
    </row>
    <row r="55" spans="3:4" x14ac:dyDescent="0.3">
      <c r="C55" s="5" t="s">
        <v>5</v>
      </c>
      <c r="D55" s="4"/>
    </row>
    <row r="56" spans="3:4" ht="14.5" thickBot="1" x14ac:dyDescent="0.35">
      <c r="C56" s="5" t="s">
        <v>6</v>
      </c>
      <c r="D56" s="4"/>
    </row>
    <row r="57" spans="3:4" ht="14.5" thickBot="1" x14ac:dyDescent="0.35">
      <c r="C57" s="15" t="s">
        <v>11</v>
      </c>
      <c r="D57" s="16">
        <f>SUM(D53:D56)</f>
        <v>30000</v>
      </c>
    </row>
    <row r="58" spans="3:4" ht="14.5" thickBot="1" x14ac:dyDescent="0.35">
      <c r="C58" s="18"/>
      <c r="D58" s="9"/>
    </row>
    <row r="59" spans="3:4" x14ac:dyDescent="0.3">
      <c r="C59" s="7" t="s">
        <v>12</v>
      </c>
      <c r="D59" s="22"/>
    </row>
    <row r="60" spans="3:4" x14ac:dyDescent="0.3">
      <c r="C60" s="5" t="s">
        <v>4</v>
      </c>
      <c r="D60" s="4"/>
    </row>
    <row r="61" spans="3:4" x14ac:dyDescent="0.3">
      <c r="C61" s="5" t="s">
        <v>5</v>
      </c>
      <c r="D61" s="4"/>
    </row>
    <row r="62" spans="3:4" x14ac:dyDescent="0.3">
      <c r="C62" s="5" t="s">
        <v>6</v>
      </c>
      <c r="D62" s="4"/>
    </row>
    <row r="63" spans="3:4" x14ac:dyDescent="0.3">
      <c r="C63" s="5" t="s">
        <v>7</v>
      </c>
      <c r="D63" s="4"/>
    </row>
    <row r="64" spans="3:4" ht="14.5" thickBot="1" x14ac:dyDescent="0.35">
      <c r="C64" s="5" t="s">
        <v>8</v>
      </c>
      <c r="D64" s="4"/>
    </row>
    <row r="65" spans="3:5" ht="14.5" thickBot="1" x14ac:dyDescent="0.35">
      <c r="C65" s="15" t="s">
        <v>11</v>
      </c>
      <c r="D65" s="16">
        <f>SUM(D59:D64)</f>
        <v>0</v>
      </c>
    </row>
    <row r="66" spans="3:5" ht="14.5" thickBot="1" x14ac:dyDescent="0.35">
      <c r="D66" s="9"/>
    </row>
    <row r="67" spans="3:5" x14ac:dyDescent="0.3">
      <c r="C67" s="7" t="s">
        <v>12</v>
      </c>
      <c r="D67" s="22" t="s">
        <v>27</v>
      </c>
    </row>
    <row r="68" spans="3:5" x14ac:dyDescent="0.3">
      <c r="C68" s="5" t="s">
        <v>4</v>
      </c>
      <c r="D68" s="4">
        <v>5784</v>
      </c>
    </row>
    <row r="69" spans="3:5" x14ac:dyDescent="0.3">
      <c r="C69" s="5" t="s">
        <v>5</v>
      </c>
      <c r="D69" s="4">
        <v>65</v>
      </c>
    </row>
    <row r="70" spans="3:5" x14ac:dyDescent="0.3">
      <c r="C70" s="5" t="s">
        <v>6</v>
      </c>
      <c r="D70" s="4"/>
    </row>
    <row r="71" spans="3:5" ht="14.5" thickBot="1" x14ac:dyDescent="0.35">
      <c r="C71" s="6" t="s">
        <v>7</v>
      </c>
      <c r="D71" s="23"/>
    </row>
    <row r="72" spans="3:5" ht="14.5" thickBot="1" x14ac:dyDescent="0.35">
      <c r="C72" s="15" t="s">
        <v>11</v>
      </c>
      <c r="D72" s="16">
        <f>SUM(D67:D71)</f>
        <v>5849</v>
      </c>
    </row>
    <row r="73" spans="3:5" ht="14.5" thickBot="1" x14ac:dyDescent="0.35">
      <c r="C73" s="18"/>
      <c r="D73" s="9"/>
    </row>
    <row r="74" spans="3:5" x14ac:dyDescent="0.3">
      <c r="C74" s="7" t="s">
        <v>12</v>
      </c>
      <c r="D74" s="22" t="s">
        <v>30</v>
      </c>
    </row>
    <row r="75" spans="3:5" x14ac:dyDescent="0.3">
      <c r="C75" s="5" t="s">
        <v>4</v>
      </c>
      <c r="D75" s="4">
        <v>1200</v>
      </c>
    </row>
    <row r="76" spans="3:5" x14ac:dyDescent="0.3">
      <c r="C76" s="5" t="s">
        <v>5</v>
      </c>
      <c r="D76" s="4"/>
    </row>
    <row r="77" spans="3:5" x14ac:dyDescent="0.3">
      <c r="C77" s="5" t="s">
        <v>6</v>
      </c>
      <c r="D77" s="4"/>
    </row>
    <row r="78" spans="3:5" ht="14.5" thickBot="1" x14ac:dyDescent="0.35">
      <c r="C78" s="6" t="s">
        <v>7</v>
      </c>
      <c r="D78" s="23"/>
    </row>
    <row r="79" spans="3:5" ht="14.5" thickBot="1" x14ac:dyDescent="0.35">
      <c r="C79" s="15" t="s">
        <v>11</v>
      </c>
      <c r="D79" s="16">
        <f>SUM(D74:D78)</f>
        <v>1200</v>
      </c>
    </row>
    <row r="80" spans="3:5" ht="14.5" thickBot="1" x14ac:dyDescent="0.35">
      <c r="D80" s="9"/>
      <c r="E80" s="9"/>
    </row>
    <row r="81" spans="3:4" x14ac:dyDescent="0.3">
      <c r="C81" s="7" t="s">
        <v>12</v>
      </c>
      <c r="D81" s="22" t="s">
        <v>28</v>
      </c>
    </row>
    <row r="82" spans="3:4" x14ac:dyDescent="0.3">
      <c r="C82" s="5" t="s">
        <v>4</v>
      </c>
      <c r="D82" s="4"/>
    </row>
    <row r="83" spans="3:4" x14ac:dyDescent="0.3">
      <c r="C83" s="5" t="s">
        <v>5</v>
      </c>
      <c r="D83" s="12"/>
    </row>
    <row r="84" spans="3:4" x14ac:dyDescent="0.3">
      <c r="C84" s="5" t="s">
        <v>6</v>
      </c>
      <c r="D84" s="12"/>
    </row>
    <row r="85" spans="3:4" x14ac:dyDescent="0.3">
      <c r="C85" s="5" t="s">
        <v>7</v>
      </c>
      <c r="D85" s="13"/>
    </row>
    <row r="86" spans="3:4" x14ac:dyDescent="0.3">
      <c r="C86" s="5" t="s">
        <v>8</v>
      </c>
      <c r="D86" s="13"/>
    </row>
    <row r="87" spans="3:4" x14ac:dyDescent="0.3">
      <c r="C87" s="5" t="s">
        <v>9</v>
      </c>
      <c r="D87" s="13"/>
    </row>
    <row r="88" spans="3:4" ht="14.5" thickBot="1" x14ac:dyDescent="0.35">
      <c r="C88" s="5" t="s">
        <v>10</v>
      </c>
      <c r="D88" s="13"/>
    </row>
    <row r="89" spans="3:4" ht="14.5" thickBot="1" x14ac:dyDescent="0.35">
      <c r="C89" s="15" t="s">
        <v>11</v>
      </c>
      <c r="D89" s="16">
        <f>SUM(D81:D88)</f>
        <v>0</v>
      </c>
    </row>
    <row r="90" spans="3:4" ht="14.5" thickBot="1" x14ac:dyDescent="0.35">
      <c r="C90" s="18"/>
      <c r="D90" s="9"/>
    </row>
    <row r="91" spans="3:4" x14ac:dyDescent="0.3">
      <c r="C91" s="42" t="s">
        <v>24</v>
      </c>
      <c r="D91" s="20">
        <f>D89+D72+D65+D57+D51+D43+D79</f>
        <v>96772</v>
      </c>
    </row>
    <row r="92" spans="3:4" ht="14.5" thickBot="1" x14ac:dyDescent="0.35">
      <c r="C92" s="43"/>
      <c r="D92" s="24"/>
    </row>
    <row r="93" spans="3:4" ht="14.5" thickBot="1" x14ac:dyDescent="0.35"/>
    <row r="94" spans="3:4" ht="14.5" thickBot="1" x14ac:dyDescent="0.35">
      <c r="C94" s="46" t="s">
        <v>29</v>
      </c>
      <c r="D94" s="47">
        <f>D17-D91</f>
        <v>93228</v>
      </c>
    </row>
    <row r="95" spans="3:4" ht="14.5" thickBot="1" x14ac:dyDescent="0.35">
      <c r="C95" s="53">
        <v>0.5</v>
      </c>
      <c r="D95" s="48">
        <f>D94*0.5</f>
        <v>46614</v>
      </c>
    </row>
    <row r="96" spans="3:4" ht="14.5" thickBot="1" x14ac:dyDescent="0.35">
      <c r="C96" s="54"/>
      <c r="D96" s="55"/>
    </row>
  </sheetData>
  <mergeCells count="2">
    <mergeCell ref="C3:E3"/>
    <mergeCell ref="D5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D544-CA76-42A1-A5E4-507B61DD7782}">
  <sheetPr>
    <pageSetUpPr fitToPage="1"/>
  </sheetPr>
  <dimension ref="C3:F97"/>
  <sheetViews>
    <sheetView rightToLeft="1" topLeftCell="A41" workbookViewId="0">
      <selection activeCell="D48" sqref="D48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  <col min="6" max="6" width="14.83203125" bestFit="1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87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88</v>
      </c>
      <c r="E10" s="30" t="s">
        <v>31</v>
      </c>
    </row>
    <row r="11" spans="3:6" x14ac:dyDescent="0.3">
      <c r="C11" s="32" t="s">
        <v>3</v>
      </c>
      <c r="D11" s="33">
        <v>300000</v>
      </c>
      <c r="E11" s="34"/>
    </row>
    <row r="12" spans="3:6" x14ac:dyDescent="0.3">
      <c r="C12" s="5" t="s">
        <v>4</v>
      </c>
      <c r="D12" s="9">
        <v>277090</v>
      </c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ht="14.5" thickBot="1" x14ac:dyDescent="0.35">
      <c r="C17" s="6" t="s">
        <v>17</v>
      </c>
      <c r="D17" s="31"/>
      <c r="E17" s="52"/>
    </row>
    <row r="18" spans="3:6" ht="14.5" thickBot="1" x14ac:dyDescent="0.35">
      <c r="C18" s="39" t="s">
        <v>11</v>
      </c>
      <c r="D18" s="41">
        <f>SUM(D12:D17)</f>
        <v>277090</v>
      </c>
      <c r="E18" s="40"/>
    </row>
    <row r="19" spans="3:6" ht="14.5" thickBot="1" x14ac:dyDescent="0.35">
      <c r="C19" s="37" t="s">
        <v>23</v>
      </c>
      <c r="D19" s="41">
        <f>D11-D18</f>
        <v>22910</v>
      </c>
      <c r="E19" s="38"/>
    </row>
    <row r="20" spans="3:6" x14ac:dyDescent="0.3">
      <c r="D20" s="9"/>
      <c r="E20" s="9"/>
    </row>
    <row r="21" spans="3:6" ht="20" x14ac:dyDescent="0.4">
      <c r="C21" s="2" t="s">
        <v>16</v>
      </c>
      <c r="D21" s="9"/>
      <c r="E21" s="9"/>
    </row>
    <row r="22" spans="3:6" ht="14.5" thickBot="1" x14ac:dyDescent="0.35">
      <c r="D22" s="9"/>
      <c r="E22" s="9"/>
    </row>
    <row r="23" spans="3:6" ht="14.5" thickBot="1" x14ac:dyDescent="0.35">
      <c r="C23" s="28" t="s">
        <v>18</v>
      </c>
      <c r="D23" s="29" t="s">
        <v>21</v>
      </c>
      <c r="E23" s="29" t="s">
        <v>22</v>
      </c>
      <c r="F23" s="30" t="s">
        <v>19</v>
      </c>
    </row>
    <row r="24" spans="3:6" x14ac:dyDescent="0.3">
      <c r="C24" s="26" t="s">
        <v>89</v>
      </c>
      <c r="D24" s="19"/>
      <c r="E24" s="19"/>
      <c r="F24" s="27">
        <v>14590</v>
      </c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26"/>
      <c r="D27" s="19"/>
      <c r="E27" s="19"/>
      <c r="F27" s="27"/>
    </row>
    <row r="28" spans="3:6" x14ac:dyDescent="0.3">
      <c r="C28" s="49"/>
      <c r="D28" s="19"/>
      <c r="E28" s="4"/>
      <c r="F28" s="21"/>
    </row>
    <row r="29" spans="3:6" x14ac:dyDescent="0.3">
      <c r="C29" s="49"/>
      <c r="D29" s="19"/>
      <c r="E29" s="4"/>
      <c r="F29" s="21"/>
    </row>
    <row r="30" spans="3:6" ht="14.5" thickBot="1" x14ac:dyDescent="0.35">
      <c r="C30" s="50"/>
      <c r="D30" s="10"/>
      <c r="E30" s="10"/>
      <c r="F30" s="51"/>
    </row>
    <row r="31" spans="3:6" ht="14.5" thickBot="1" x14ac:dyDescent="0.35">
      <c r="C31" s="25" t="s">
        <v>20</v>
      </c>
      <c r="D31" s="16"/>
      <c r="E31" s="16"/>
      <c r="F31" s="17">
        <f>SUM(F24:F30)</f>
        <v>14590</v>
      </c>
    </row>
    <row r="32" spans="3:6" x14ac:dyDescent="0.3">
      <c r="D32" s="9"/>
      <c r="E32" s="9"/>
    </row>
    <row r="33" spans="3:5" x14ac:dyDescent="0.3">
      <c r="C33" s="44" t="s">
        <v>90</v>
      </c>
      <c r="D33" s="45">
        <f>F31+D19</f>
        <v>37500</v>
      </c>
      <c r="E33" s="9"/>
    </row>
    <row r="34" spans="3:5" x14ac:dyDescent="0.3">
      <c r="C34" s="44"/>
      <c r="D34" s="44"/>
      <c r="E34" s="9"/>
    </row>
    <row r="35" spans="3:5" x14ac:dyDescent="0.3">
      <c r="D35" s="9"/>
      <c r="E35" s="9"/>
    </row>
    <row r="36" spans="3:5" ht="23" x14ac:dyDescent="0.5">
      <c r="C36" s="3" t="s">
        <v>2</v>
      </c>
      <c r="D36" s="11"/>
      <c r="E36" s="11"/>
    </row>
    <row r="37" spans="3:5" ht="14.5" thickBot="1" x14ac:dyDescent="0.35">
      <c r="D37" s="9"/>
      <c r="E37" s="9"/>
    </row>
    <row r="38" spans="3:5" ht="14.5" thickBot="1" x14ac:dyDescent="0.35">
      <c r="C38" s="35" t="s">
        <v>12</v>
      </c>
      <c r="D38" s="36" t="s">
        <v>35</v>
      </c>
    </row>
    <row r="39" spans="3:5" x14ac:dyDescent="0.3">
      <c r="C39" s="5" t="s">
        <v>4</v>
      </c>
      <c r="D39" s="19">
        <v>50000</v>
      </c>
    </row>
    <row r="40" spans="3:5" x14ac:dyDescent="0.3">
      <c r="C40" s="5" t="s">
        <v>5</v>
      </c>
      <c r="D40" s="4">
        <v>10000</v>
      </c>
    </row>
    <row r="41" spans="3:5" x14ac:dyDescent="0.3">
      <c r="C41" s="5" t="s">
        <v>6</v>
      </c>
      <c r="D41" s="4"/>
    </row>
    <row r="42" spans="3:5" x14ac:dyDescent="0.3">
      <c r="C42" s="5" t="s">
        <v>7</v>
      </c>
      <c r="D42" s="4"/>
    </row>
    <row r="43" spans="3:5" ht="14.5" thickBot="1" x14ac:dyDescent="0.35">
      <c r="C43" s="5" t="s">
        <v>8</v>
      </c>
      <c r="D43" s="4"/>
    </row>
    <row r="44" spans="3:5" ht="14.5" thickBot="1" x14ac:dyDescent="0.35">
      <c r="C44" s="15" t="s">
        <v>11</v>
      </c>
      <c r="D44" s="16">
        <f>SUM(D38:D43)</f>
        <v>60000</v>
      </c>
    </row>
    <row r="45" spans="3:5" ht="14.5" thickBot="1" x14ac:dyDescent="0.35">
      <c r="D45" s="9"/>
    </row>
    <row r="46" spans="3:5" x14ac:dyDescent="0.3">
      <c r="C46" s="7" t="s">
        <v>12</v>
      </c>
      <c r="D46" s="22" t="s">
        <v>45</v>
      </c>
    </row>
    <row r="47" spans="3:5" x14ac:dyDescent="0.3">
      <c r="C47" s="5" t="s">
        <v>4</v>
      </c>
      <c r="D47" s="4">
        <v>69545</v>
      </c>
    </row>
    <row r="48" spans="3:5" x14ac:dyDescent="0.3">
      <c r="C48" s="5" t="s">
        <v>5</v>
      </c>
      <c r="D48" s="4">
        <v>69364</v>
      </c>
    </row>
    <row r="49" spans="3:4" x14ac:dyDescent="0.3">
      <c r="C49" s="5" t="s">
        <v>6</v>
      </c>
      <c r="D49" s="4"/>
    </row>
    <row r="50" spans="3:4" x14ac:dyDescent="0.3">
      <c r="C50" s="5" t="s">
        <v>7</v>
      </c>
      <c r="D50" s="4"/>
    </row>
    <row r="51" spans="3:4" ht="14.5" thickBot="1" x14ac:dyDescent="0.35">
      <c r="C51" s="5" t="s">
        <v>8</v>
      </c>
      <c r="D51" s="4"/>
    </row>
    <row r="52" spans="3:4" ht="14.5" thickBot="1" x14ac:dyDescent="0.35">
      <c r="C52" s="15" t="s">
        <v>11</v>
      </c>
      <c r="D52" s="16">
        <f>SUM(D46:D51)</f>
        <v>138909</v>
      </c>
    </row>
    <row r="53" spans="3:4" ht="14.5" thickBot="1" x14ac:dyDescent="0.35">
      <c r="D53" s="9"/>
    </row>
    <row r="54" spans="3:4" x14ac:dyDescent="0.3">
      <c r="C54" s="7" t="s">
        <v>12</v>
      </c>
      <c r="D54" s="22"/>
    </row>
    <row r="55" spans="3:4" x14ac:dyDescent="0.3">
      <c r="C55" s="5" t="s">
        <v>4</v>
      </c>
      <c r="D55" s="4"/>
    </row>
    <row r="56" spans="3:4" x14ac:dyDescent="0.3">
      <c r="C56" s="5" t="s">
        <v>5</v>
      </c>
      <c r="D56" s="4"/>
    </row>
    <row r="57" spans="3:4" ht="14.5" thickBot="1" x14ac:dyDescent="0.35">
      <c r="C57" s="5" t="s">
        <v>6</v>
      </c>
      <c r="D57" s="4"/>
    </row>
    <row r="58" spans="3:4" ht="14.5" thickBot="1" x14ac:dyDescent="0.35">
      <c r="C58" s="15" t="s">
        <v>11</v>
      </c>
      <c r="D58" s="16">
        <f>SUM(D54:D57)</f>
        <v>0</v>
      </c>
    </row>
    <row r="59" spans="3:4" ht="14.5" thickBot="1" x14ac:dyDescent="0.35">
      <c r="C59" s="18"/>
      <c r="D59" s="9"/>
    </row>
    <row r="60" spans="3:4" x14ac:dyDescent="0.3">
      <c r="C60" s="7" t="s">
        <v>12</v>
      </c>
      <c r="D60" s="22"/>
    </row>
    <row r="61" spans="3:4" x14ac:dyDescent="0.3">
      <c r="C61" s="5" t="s">
        <v>4</v>
      </c>
      <c r="D61" s="4"/>
    </row>
    <row r="62" spans="3:4" x14ac:dyDescent="0.3">
      <c r="C62" s="5" t="s">
        <v>5</v>
      </c>
      <c r="D62" s="4"/>
    </row>
    <row r="63" spans="3:4" x14ac:dyDescent="0.3">
      <c r="C63" s="5" t="s">
        <v>6</v>
      </c>
      <c r="D63" s="4"/>
    </row>
    <row r="64" spans="3:4" x14ac:dyDescent="0.3">
      <c r="C64" s="5" t="s">
        <v>7</v>
      </c>
      <c r="D64" s="4"/>
    </row>
    <row r="65" spans="3:4" ht="14.5" thickBot="1" x14ac:dyDescent="0.35">
      <c r="C65" s="5" t="s">
        <v>8</v>
      </c>
      <c r="D65" s="4"/>
    </row>
    <row r="66" spans="3:4" ht="14.5" thickBot="1" x14ac:dyDescent="0.35">
      <c r="C66" s="15" t="s">
        <v>11</v>
      </c>
      <c r="D66" s="16">
        <f>SUM(D60:D65)</f>
        <v>0</v>
      </c>
    </row>
    <row r="67" spans="3:4" ht="14.5" thickBot="1" x14ac:dyDescent="0.35">
      <c r="D67" s="9"/>
    </row>
    <row r="68" spans="3:4" x14ac:dyDescent="0.3">
      <c r="C68" s="7" t="s">
        <v>12</v>
      </c>
      <c r="D68" s="22" t="s">
        <v>27</v>
      </c>
    </row>
    <row r="69" spans="3:4" x14ac:dyDescent="0.3">
      <c r="C69" s="5" t="s">
        <v>4</v>
      </c>
      <c r="D69" s="4">
        <v>8127</v>
      </c>
    </row>
    <row r="70" spans="3:4" x14ac:dyDescent="0.3">
      <c r="C70" s="5" t="s">
        <v>5</v>
      </c>
      <c r="D70" s="4">
        <v>523</v>
      </c>
    </row>
    <row r="71" spans="3:4" x14ac:dyDescent="0.3">
      <c r="C71" s="5" t="s">
        <v>6</v>
      </c>
      <c r="D71" s="4">
        <v>1934</v>
      </c>
    </row>
    <row r="72" spans="3:4" ht="14.5" thickBot="1" x14ac:dyDescent="0.35">
      <c r="C72" s="6" t="s">
        <v>7</v>
      </c>
      <c r="D72" s="23">
        <v>1911</v>
      </c>
    </row>
    <row r="73" spans="3:4" ht="14.5" thickBot="1" x14ac:dyDescent="0.35">
      <c r="C73" s="15" t="s">
        <v>11</v>
      </c>
      <c r="D73" s="16">
        <f>SUM(D68:D72)</f>
        <v>12495</v>
      </c>
    </row>
    <row r="74" spans="3:4" ht="14.5" thickBot="1" x14ac:dyDescent="0.35">
      <c r="C74" s="18"/>
      <c r="D74" s="9"/>
    </row>
    <row r="75" spans="3:4" x14ac:dyDescent="0.3">
      <c r="C75" s="7" t="s">
        <v>12</v>
      </c>
      <c r="D75" s="22" t="s">
        <v>30</v>
      </c>
    </row>
    <row r="76" spans="3:4" x14ac:dyDescent="0.3">
      <c r="C76" s="5" t="s">
        <v>4</v>
      </c>
      <c r="D76" s="4">
        <v>2500</v>
      </c>
    </row>
    <row r="77" spans="3:4" x14ac:dyDescent="0.3">
      <c r="C77" s="5" t="s">
        <v>5</v>
      </c>
      <c r="D77" s="4"/>
    </row>
    <row r="78" spans="3:4" x14ac:dyDescent="0.3">
      <c r="C78" s="5" t="s">
        <v>6</v>
      </c>
      <c r="D78" s="4"/>
    </row>
    <row r="79" spans="3:4" ht="14.5" thickBot="1" x14ac:dyDescent="0.35">
      <c r="C79" s="6" t="s">
        <v>7</v>
      </c>
      <c r="D79" s="23"/>
    </row>
    <row r="80" spans="3:4" ht="14.5" thickBot="1" x14ac:dyDescent="0.35">
      <c r="C80" s="15" t="s">
        <v>11</v>
      </c>
      <c r="D80" s="16">
        <f>SUM(D75:D79)</f>
        <v>2500</v>
      </c>
    </row>
    <row r="81" spans="3:5" ht="14.5" thickBot="1" x14ac:dyDescent="0.35">
      <c r="D81" s="9"/>
      <c r="E81" s="9"/>
    </row>
    <row r="82" spans="3:5" x14ac:dyDescent="0.3">
      <c r="C82" s="7" t="s">
        <v>12</v>
      </c>
      <c r="D82" s="22" t="s">
        <v>28</v>
      </c>
    </row>
    <row r="83" spans="3:5" x14ac:dyDescent="0.3">
      <c r="C83" s="5" t="s">
        <v>4</v>
      </c>
      <c r="D83" s="4"/>
    </row>
    <row r="84" spans="3:5" x14ac:dyDescent="0.3">
      <c r="C84" s="5" t="s">
        <v>5</v>
      </c>
      <c r="D84" s="12"/>
    </row>
    <row r="85" spans="3:5" x14ac:dyDescent="0.3">
      <c r="C85" s="5" t="s">
        <v>6</v>
      </c>
      <c r="D85" s="12"/>
    </row>
    <row r="86" spans="3:5" x14ac:dyDescent="0.3">
      <c r="C86" s="5" t="s">
        <v>7</v>
      </c>
      <c r="D86" s="13"/>
    </row>
    <row r="87" spans="3:5" x14ac:dyDescent="0.3">
      <c r="C87" s="5" t="s">
        <v>8</v>
      </c>
      <c r="D87" s="13"/>
    </row>
    <row r="88" spans="3:5" x14ac:dyDescent="0.3">
      <c r="C88" s="5" t="s">
        <v>9</v>
      </c>
      <c r="D88" s="13"/>
    </row>
    <row r="89" spans="3:5" ht="14.5" thickBot="1" x14ac:dyDescent="0.35">
      <c r="C89" s="5" t="s">
        <v>10</v>
      </c>
      <c r="D89" s="13"/>
    </row>
    <row r="90" spans="3:5" ht="14.5" thickBot="1" x14ac:dyDescent="0.35">
      <c r="C90" s="15" t="s">
        <v>11</v>
      </c>
      <c r="D90" s="16">
        <f>SUM(D82:D89)</f>
        <v>0</v>
      </c>
    </row>
    <row r="91" spans="3:5" ht="14.5" thickBot="1" x14ac:dyDescent="0.35">
      <c r="C91" s="18"/>
      <c r="D91" s="9"/>
    </row>
    <row r="92" spans="3:5" x14ac:dyDescent="0.3">
      <c r="C92" s="42" t="s">
        <v>24</v>
      </c>
      <c r="D92" s="20">
        <f>D90+D73+D66+D58+D52+D44+D80</f>
        <v>213904</v>
      </c>
    </row>
    <row r="93" spans="3:5" ht="14.5" thickBot="1" x14ac:dyDescent="0.35">
      <c r="C93" s="64"/>
      <c r="D93" s="24"/>
    </row>
    <row r="94" spans="3:5" ht="14.5" thickBot="1" x14ac:dyDescent="0.35"/>
    <row r="95" spans="3:5" ht="14.5" thickBot="1" x14ac:dyDescent="0.35">
      <c r="C95" s="46" t="s">
        <v>29</v>
      </c>
      <c r="D95" s="47">
        <f>(D11+F31)-D92</f>
        <v>100686</v>
      </c>
    </row>
    <row r="96" spans="3:5" ht="14.5" thickBot="1" x14ac:dyDescent="0.35">
      <c r="C96" s="53">
        <v>0.5</v>
      </c>
      <c r="D96" s="48">
        <f>D95*0.5</f>
        <v>50343</v>
      </c>
    </row>
    <row r="97" spans="3:4" ht="14.5" thickBot="1" x14ac:dyDescent="0.35">
      <c r="C97" s="54"/>
      <c r="D97" s="55"/>
    </row>
  </sheetData>
  <mergeCells count="2">
    <mergeCell ref="C4:E4"/>
    <mergeCell ref="D6:E7"/>
  </mergeCells>
  <pageMargins left="0.7" right="0.7" top="0.75" bottom="0.75" header="0.3" footer="0.3"/>
  <pageSetup paperSize="9" scale="5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C91B-5C81-491F-BC3C-EFAB258BE6C5}">
  <sheetPr>
    <pageSetUpPr fitToPage="1"/>
  </sheetPr>
  <dimension ref="C3:F97"/>
  <sheetViews>
    <sheetView rightToLeft="1" topLeftCell="A49" workbookViewId="0">
      <selection activeCell="D54" sqref="D54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  <col min="6" max="6" width="14.83203125" bestFit="1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104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104</v>
      </c>
      <c r="E10" s="30" t="s">
        <v>31</v>
      </c>
    </row>
    <row r="11" spans="3:6" x14ac:dyDescent="0.3">
      <c r="C11" s="32" t="s">
        <v>3</v>
      </c>
      <c r="D11" s="33">
        <v>214980</v>
      </c>
      <c r="E11" s="34"/>
    </row>
    <row r="12" spans="3:6" x14ac:dyDescent="0.3">
      <c r="C12" s="5" t="s">
        <v>4</v>
      </c>
      <c r="D12" s="9">
        <v>100000</v>
      </c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ht="14.5" thickBot="1" x14ac:dyDescent="0.35">
      <c r="C17" s="6" t="s">
        <v>17</v>
      </c>
      <c r="D17" s="31"/>
      <c r="E17" s="52"/>
    </row>
    <row r="18" spans="3:6" ht="14.5" thickBot="1" x14ac:dyDescent="0.35">
      <c r="C18" s="39" t="s">
        <v>11</v>
      </c>
      <c r="D18" s="41">
        <f>SUM(D12:D17)</f>
        <v>100000</v>
      </c>
      <c r="E18" s="40"/>
    </row>
    <row r="19" spans="3:6" ht="14.5" thickBot="1" x14ac:dyDescent="0.35">
      <c r="C19" s="37" t="s">
        <v>23</v>
      </c>
      <c r="D19" s="41">
        <f>D11-D18</f>
        <v>114980</v>
      </c>
      <c r="E19" s="38"/>
    </row>
    <row r="20" spans="3:6" x14ac:dyDescent="0.3">
      <c r="D20" s="9"/>
      <c r="E20" s="9"/>
    </row>
    <row r="21" spans="3:6" ht="20" x14ac:dyDescent="0.4">
      <c r="C21" s="2" t="s">
        <v>16</v>
      </c>
      <c r="D21" s="9"/>
      <c r="E21" s="9"/>
    </row>
    <row r="22" spans="3:6" ht="14.5" thickBot="1" x14ac:dyDescent="0.35">
      <c r="D22" s="9"/>
      <c r="E22" s="9"/>
    </row>
    <row r="23" spans="3:6" ht="14.5" thickBot="1" x14ac:dyDescent="0.35">
      <c r="C23" s="28" t="s">
        <v>18</v>
      </c>
      <c r="D23" s="29" t="s">
        <v>21</v>
      </c>
      <c r="E23" s="29" t="s">
        <v>22</v>
      </c>
      <c r="F23" s="30" t="s">
        <v>19</v>
      </c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26"/>
      <c r="D27" s="19"/>
      <c r="E27" s="19"/>
      <c r="F27" s="27"/>
    </row>
    <row r="28" spans="3:6" x14ac:dyDescent="0.3">
      <c r="C28" s="49"/>
      <c r="D28" s="19"/>
      <c r="E28" s="4"/>
      <c r="F28" s="21"/>
    </row>
    <row r="29" spans="3:6" x14ac:dyDescent="0.3">
      <c r="C29" s="49"/>
      <c r="D29" s="19"/>
      <c r="E29" s="4"/>
      <c r="F29" s="21"/>
    </row>
    <row r="30" spans="3:6" ht="14.5" thickBot="1" x14ac:dyDescent="0.35">
      <c r="C30" s="50"/>
      <c r="D30" s="10"/>
      <c r="E30" s="10"/>
      <c r="F30" s="51"/>
    </row>
    <row r="31" spans="3:6" ht="14.5" thickBot="1" x14ac:dyDescent="0.35">
      <c r="C31" s="25" t="s">
        <v>20</v>
      </c>
      <c r="D31" s="16"/>
      <c r="E31" s="16"/>
      <c r="F31" s="17">
        <f>SUM(F24:F30)</f>
        <v>0</v>
      </c>
    </row>
    <row r="32" spans="3:6" x14ac:dyDescent="0.3">
      <c r="D32" s="9"/>
      <c r="E32" s="9"/>
    </row>
    <row r="33" spans="3:5" x14ac:dyDescent="0.3">
      <c r="C33" s="44" t="s">
        <v>25</v>
      </c>
      <c r="D33" s="45">
        <f>F31+D11</f>
        <v>214980</v>
      </c>
      <c r="E33" s="9"/>
    </row>
    <row r="34" spans="3:5" x14ac:dyDescent="0.3">
      <c r="C34" s="44"/>
      <c r="D34" s="44"/>
      <c r="E34" s="9"/>
    </row>
    <row r="35" spans="3:5" x14ac:dyDescent="0.3">
      <c r="D35" s="9"/>
      <c r="E35" s="9"/>
    </row>
    <row r="36" spans="3:5" ht="23" x14ac:dyDescent="0.5">
      <c r="C36" s="3" t="s">
        <v>2</v>
      </c>
      <c r="D36" s="11"/>
      <c r="E36" s="11"/>
    </row>
    <row r="37" spans="3:5" ht="14.5" thickBot="1" x14ac:dyDescent="0.35">
      <c r="D37" s="9"/>
      <c r="E37" s="9"/>
    </row>
    <row r="38" spans="3:5" ht="14.5" thickBot="1" x14ac:dyDescent="0.35">
      <c r="C38" s="35" t="s">
        <v>12</v>
      </c>
      <c r="D38" s="36" t="s">
        <v>39</v>
      </c>
    </row>
    <row r="39" spans="3:5" x14ac:dyDescent="0.3">
      <c r="C39" s="5" t="s">
        <v>4</v>
      </c>
      <c r="D39" s="19">
        <v>60000</v>
      </c>
    </row>
    <row r="40" spans="3:5" x14ac:dyDescent="0.3">
      <c r="C40" s="5" t="s">
        <v>5</v>
      </c>
      <c r="D40" s="4"/>
    </row>
    <row r="41" spans="3:5" x14ac:dyDescent="0.3">
      <c r="C41" s="5" t="s">
        <v>6</v>
      </c>
      <c r="D41" s="4"/>
    </row>
    <row r="42" spans="3:5" x14ac:dyDescent="0.3">
      <c r="C42" s="5" t="s">
        <v>7</v>
      </c>
      <c r="D42" s="4"/>
    </row>
    <row r="43" spans="3:5" ht="14.5" thickBot="1" x14ac:dyDescent="0.35">
      <c r="C43" s="5" t="s">
        <v>8</v>
      </c>
      <c r="D43" s="4"/>
    </row>
    <row r="44" spans="3:5" ht="14.5" thickBot="1" x14ac:dyDescent="0.35">
      <c r="C44" s="15" t="s">
        <v>11</v>
      </c>
      <c r="D44" s="16">
        <f>SUM(D38:D43)</f>
        <v>60000</v>
      </c>
    </row>
    <row r="45" spans="3:5" ht="14.5" thickBot="1" x14ac:dyDescent="0.35">
      <c r="D45" s="9"/>
    </row>
    <row r="46" spans="3:5" x14ac:dyDescent="0.3">
      <c r="C46" s="7" t="s">
        <v>12</v>
      </c>
      <c r="D46" s="22" t="s">
        <v>56</v>
      </c>
    </row>
    <row r="47" spans="3:5" x14ac:dyDescent="0.3">
      <c r="C47" s="5" t="s">
        <v>4</v>
      </c>
      <c r="D47" s="4">
        <v>77254</v>
      </c>
    </row>
    <row r="48" spans="3:5" x14ac:dyDescent="0.3">
      <c r="C48" s="5" t="s">
        <v>5</v>
      </c>
      <c r="D48" s="4"/>
    </row>
    <row r="49" spans="3:4" x14ac:dyDescent="0.3">
      <c r="C49" s="5" t="s">
        <v>6</v>
      </c>
      <c r="D49" s="4"/>
    </row>
    <row r="50" spans="3:4" x14ac:dyDescent="0.3">
      <c r="C50" s="5" t="s">
        <v>7</v>
      </c>
      <c r="D50" s="4"/>
    </row>
    <row r="51" spans="3:4" ht="14.5" thickBot="1" x14ac:dyDescent="0.35">
      <c r="C51" s="5" t="s">
        <v>8</v>
      </c>
      <c r="D51" s="4"/>
    </row>
    <row r="52" spans="3:4" ht="14.5" thickBot="1" x14ac:dyDescent="0.35">
      <c r="C52" s="15" t="s">
        <v>11</v>
      </c>
      <c r="D52" s="16">
        <f>SUM(D46:D51)</f>
        <v>77254</v>
      </c>
    </row>
    <row r="53" spans="3:4" ht="14.5" thickBot="1" x14ac:dyDescent="0.35">
      <c r="D53" s="9"/>
    </row>
    <row r="54" spans="3:4" x14ac:dyDescent="0.3">
      <c r="C54" s="7" t="s">
        <v>12</v>
      </c>
      <c r="D54" s="22" t="s">
        <v>26</v>
      </c>
    </row>
    <row r="55" spans="3:4" x14ac:dyDescent="0.3">
      <c r="C55" s="5" t="s">
        <v>4</v>
      </c>
      <c r="D55" s="4">
        <v>20000</v>
      </c>
    </row>
    <row r="56" spans="3:4" x14ac:dyDescent="0.3">
      <c r="C56" s="5" t="s">
        <v>5</v>
      </c>
      <c r="D56" s="4"/>
    </row>
    <row r="57" spans="3:4" ht="14.5" thickBot="1" x14ac:dyDescent="0.35">
      <c r="C57" s="5" t="s">
        <v>6</v>
      </c>
      <c r="D57" s="4"/>
    </row>
    <row r="58" spans="3:4" ht="14.5" thickBot="1" x14ac:dyDescent="0.35">
      <c r="C58" s="15" t="s">
        <v>11</v>
      </c>
      <c r="D58" s="16">
        <f>SUM(D54:D57)</f>
        <v>20000</v>
      </c>
    </row>
    <row r="59" spans="3:4" ht="14.5" thickBot="1" x14ac:dyDescent="0.35">
      <c r="C59" s="18"/>
      <c r="D59" s="9"/>
    </row>
    <row r="60" spans="3:4" x14ac:dyDescent="0.3">
      <c r="C60" s="7" t="s">
        <v>12</v>
      </c>
      <c r="D60" s="22"/>
    </row>
    <row r="61" spans="3:4" x14ac:dyDescent="0.3">
      <c r="C61" s="5" t="s">
        <v>4</v>
      </c>
      <c r="D61" s="4"/>
    </row>
    <row r="62" spans="3:4" x14ac:dyDescent="0.3">
      <c r="C62" s="5" t="s">
        <v>5</v>
      </c>
      <c r="D62" s="4"/>
    </row>
    <row r="63" spans="3:4" x14ac:dyDescent="0.3">
      <c r="C63" s="5" t="s">
        <v>6</v>
      </c>
      <c r="D63" s="4"/>
    </row>
    <row r="64" spans="3:4" x14ac:dyDescent="0.3">
      <c r="C64" s="5" t="s">
        <v>7</v>
      </c>
      <c r="D64" s="4"/>
    </row>
    <row r="65" spans="3:4" ht="14.5" thickBot="1" x14ac:dyDescent="0.35">
      <c r="C65" s="5" t="s">
        <v>8</v>
      </c>
      <c r="D65" s="4"/>
    </row>
    <row r="66" spans="3:4" ht="14.5" thickBot="1" x14ac:dyDescent="0.35">
      <c r="C66" s="15" t="s">
        <v>11</v>
      </c>
      <c r="D66" s="16">
        <f>SUM(D60:D65)</f>
        <v>0</v>
      </c>
    </row>
    <row r="67" spans="3:4" ht="14.5" thickBot="1" x14ac:dyDescent="0.35">
      <c r="D67" s="9"/>
    </row>
    <row r="68" spans="3:4" x14ac:dyDescent="0.3">
      <c r="C68" s="7" t="s">
        <v>12</v>
      </c>
      <c r="D68" s="22" t="s">
        <v>27</v>
      </c>
    </row>
    <row r="69" spans="3:4" x14ac:dyDescent="0.3">
      <c r="C69" s="5" t="s">
        <v>4</v>
      </c>
      <c r="D69" s="4">
        <v>10808</v>
      </c>
    </row>
    <row r="70" spans="3:4" x14ac:dyDescent="0.3">
      <c r="C70" s="5" t="s">
        <v>5</v>
      </c>
      <c r="D70" s="4"/>
    </row>
    <row r="71" spans="3:4" x14ac:dyDescent="0.3">
      <c r="C71" s="5" t="s">
        <v>6</v>
      </c>
      <c r="D71" s="4"/>
    </row>
    <row r="72" spans="3:4" ht="14.5" thickBot="1" x14ac:dyDescent="0.35">
      <c r="C72" s="6" t="s">
        <v>7</v>
      </c>
      <c r="D72" s="23"/>
    </row>
    <row r="73" spans="3:4" ht="14.5" thickBot="1" x14ac:dyDescent="0.35">
      <c r="C73" s="15" t="s">
        <v>11</v>
      </c>
      <c r="D73" s="16">
        <f>SUM(D68:D72)</f>
        <v>10808</v>
      </c>
    </row>
    <row r="74" spans="3:4" ht="14.5" thickBot="1" x14ac:dyDescent="0.35">
      <c r="C74" s="18"/>
      <c r="D74" s="9"/>
    </row>
    <row r="75" spans="3:4" x14ac:dyDescent="0.3">
      <c r="C75" s="7" t="s">
        <v>12</v>
      </c>
      <c r="D75" s="22" t="s">
        <v>28</v>
      </c>
    </row>
    <row r="76" spans="3:4" x14ac:dyDescent="0.3">
      <c r="C76" s="5" t="s">
        <v>4</v>
      </c>
      <c r="D76" s="4">
        <v>3056</v>
      </c>
    </row>
    <row r="77" spans="3:4" x14ac:dyDescent="0.3">
      <c r="C77" s="5" t="s">
        <v>5</v>
      </c>
      <c r="D77" s="4"/>
    </row>
    <row r="78" spans="3:4" x14ac:dyDescent="0.3">
      <c r="C78" s="5" t="s">
        <v>6</v>
      </c>
      <c r="D78" s="4"/>
    </row>
    <row r="79" spans="3:4" ht="14.5" thickBot="1" x14ac:dyDescent="0.35">
      <c r="C79" s="6" t="s">
        <v>7</v>
      </c>
      <c r="D79" s="23"/>
    </row>
    <row r="80" spans="3:4" ht="14.5" thickBot="1" x14ac:dyDescent="0.35">
      <c r="C80" s="15" t="s">
        <v>11</v>
      </c>
      <c r="D80" s="16">
        <f>SUM(D75:D79)</f>
        <v>3056</v>
      </c>
    </row>
    <row r="81" spans="3:5" ht="14.5" thickBot="1" x14ac:dyDescent="0.35">
      <c r="D81" s="9"/>
      <c r="E81" s="9"/>
    </row>
    <row r="82" spans="3:5" x14ac:dyDescent="0.3">
      <c r="C82" s="7" t="s">
        <v>12</v>
      </c>
      <c r="D82" s="22" t="s">
        <v>28</v>
      </c>
    </row>
    <row r="83" spans="3:5" x14ac:dyDescent="0.3">
      <c r="C83" s="5" t="s">
        <v>4</v>
      </c>
      <c r="D83" s="4"/>
    </row>
    <row r="84" spans="3:5" x14ac:dyDescent="0.3">
      <c r="C84" s="5" t="s">
        <v>5</v>
      </c>
      <c r="D84" s="12"/>
    </row>
    <row r="85" spans="3:5" x14ac:dyDescent="0.3">
      <c r="C85" s="5" t="s">
        <v>6</v>
      </c>
      <c r="D85" s="12"/>
    </row>
    <row r="86" spans="3:5" x14ac:dyDescent="0.3">
      <c r="C86" s="5" t="s">
        <v>7</v>
      </c>
      <c r="D86" s="13"/>
    </row>
    <row r="87" spans="3:5" x14ac:dyDescent="0.3">
      <c r="C87" s="5" t="s">
        <v>8</v>
      </c>
      <c r="D87" s="13"/>
    </row>
    <row r="88" spans="3:5" x14ac:dyDescent="0.3">
      <c r="C88" s="5" t="s">
        <v>9</v>
      </c>
      <c r="D88" s="13"/>
    </row>
    <row r="89" spans="3:5" ht="14.5" thickBot="1" x14ac:dyDescent="0.35">
      <c r="C89" s="5" t="s">
        <v>10</v>
      </c>
      <c r="D89" s="13"/>
    </row>
    <row r="90" spans="3:5" ht="14.5" thickBot="1" x14ac:dyDescent="0.35">
      <c r="C90" s="15" t="s">
        <v>11</v>
      </c>
      <c r="D90" s="16">
        <f>SUM(D82:D89)</f>
        <v>0</v>
      </c>
    </row>
    <row r="91" spans="3:5" ht="14.5" thickBot="1" x14ac:dyDescent="0.35">
      <c r="C91" s="18"/>
      <c r="D91" s="9"/>
    </row>
    <row r="92" spans="3:5" x14ac:dyDescent="0.3">
      <c r="C92" s="42" t="s">
        <v>24</v>
      </c>
      <c r="D92" s="20">
        <f>D90+D73+D66+D58+D52+D44+D80</f>
        <v>171118</v>
      </c>
    </row>
    <row r="93" spans="3:5" ht="14.5" thickBot="1" x14ac:dyDescent="0.35">
      <c r="C93" s="43"/>
      <c r="D93" s="24"/>
    </row>
    <row r="94" spans="3:5" ht="14.5" thickBot="1" x14ac:dyDescent="0.35"/>
    <row r="95" spans="3:5" ht="14.5" thickBot="1" x14ac:dyDescent="0.35">
      <c r="C95" s="46" t="s">
        <v>29</v>
      </c>
      <c r="D95" s="47">
        <f>D33-D92</f>
        <v>43862</v>
      </c>
    </row>
    <row r="96" spans="3:5" ht="14.5" thickBot="1" x14ac:dyDescent="0.35">
      <c r="C96" s="53">
        <v>0.5</v>
      </c>
      <c r="D96" s="48">
        <f>D95*0.5</f>
        <v>21931</v>
      </c>
    </row>
    <row r="97" spans="3:4" ht="14.5" thickBot="1" x14ac:dyDescent="0.35">
      <c r="C97" s="54"/>
      <c r="D97" s="55"/>
    </row>
  </sheetData>
  <mergeCells count="2">
    <mergeCell ref="C4:E4"/>
    <mergeCell ref="D6:E7"/>
  </mergeCells>
  <pageMargins left="0.7" right="0.7" top="0.75" bottom="0.75" header="0.3" footer="0.3"/>
  <pageSetup paperSize="9" scale="5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3:F97"/>
  <sheetViews>
    <sheetView rightToLeft="1" topLeftCell="A69" workbookViewId="0">
      <selection activeCell="D92" sqref="D92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  <col min="6" max="6" width="14.83203125" bestFit="1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51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51</v>
      </c>
      <c r="E10" s="30" t="s">
        <v>31</v>
      </c>
    </row>
    <row r="11" spans="3:6" x14ac:dyDescent="0.3">
      <c r="C11" s="32" t="s">
        <v>3</v>
      </c>
      <c r="D11" s="33">
        <v>363410</v>
      </c>
      <c r="E11" s="34"/>
    </row>
    <row r="12" spans="3:6" x14ac:dyDescent="0.3">
      <c r="C12" s="5" t="s">
        <v>4</v>
      </c>
      <c r="D12" s="9">
        <v>144000</v>
      </c>
      <c r="E12" s="67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ht="14.5" thickBot="1" x14ac:dyDescent="0.35">
      <c r="C17" s="6" t="s">
        <v>17</v>
      </c>
      <c r="D17" s="31"/>
      <c r="E17" s="52"/>
    </row>
    <row r="18" spans="3:6" ht="14.5" thickBot="1" x14ac:dyDescent="0.35">
      <c r="C18" s="39" t="s">
        <v>11</v>
      </c>
      <c r="D18" s="41">
        <f>SUM(D12:D17)</f>
        <v>144000</v>
      </c>
      <c r="E18" s="40"/>
    </row>
    <row r="19" spans="3:6" ht="14.5" thickBot="1" x14ac:dyDescent="0.35">
      <c r="C19" s="37" t="s">
        <v>23</v>
      </c>
      <c r="D19" s="41">
        <f>D11-D18</f>
        <v>219410</v>
      </c>
      <c r="E19" s="38"/>
    </row>
    <row r="20" spans="3:6" x14ac:dyDescent="0.3">
      <c r="D20" s="9"/>
      <c r="E20" s="9"/>
    </row>
    <row r="21" spans="3:6" ht="20" x14ac:dyDescent="0.4">
      <c r="C21" s="2" t="s">
        <v>16</v>
      </c>
      <c r="D21" s="9"/>
      <c r="E21" s="9"/>
    </row>
    <row r="22" spans="3:6" ht="14.5" thickBot="1" x14ac:dyDescent="0.35">
      <c r="D22" s="9"/>
      <c r="E22" s="9"/>
    </row>
    <row r="23" spans="3:6" ht="14.5" thickBot="1" x14ac:dyDescent="0.35">
      <c r="C23" s="28" t="s">
        <v>18</v>
      </c>
      <c r="D23" s="29" t="s">
        <v>21</v>
      </c>
      <c r="E23" s="29" t="s">
        <v>22</v>
      </c>
      <c r="F23" s="30" t="s">
        <v>19</v>
      </c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26"/>
      <c r="D27" s="19"/>
      <c r="E27" s="19"/>
      <c r="F27" s="27"/>
    </row>
    <row r="28" spans="3:6" x14ac:dyDescent="0.3">
      <c r="C28" s="49"/>
      <c r="D28" s="19"/>
      <c r="E28" s="4"/>
      <c r="F28" s="21"/>
    </row>
    <row r="29" spans="3:6" x14ac:dyDescent="0.3">
      <c r="C29" s="49"/>
      <c r="D29" s="19"/>
      <c r="E29" s="4"/>
      <c r="F29" s="21"/>
    </row>
    <row r="30" spans="3:6" ht="14.5" thickBot="1" x14ac:dyDescent="0.35">
      <c r="C30" s="50"/>
      <c r="D30" s="10"/>
      <c r="E30" s="10"/>
      <c r="F30" s="51"/>
    </row>
    <row r="31" spans="3:6" ht="14.5" thickBot="1" x14ac:dyDescent="0.35">
      <c r="C31" s="25" t="s">
        <v>20</v>
      </c>
      <c r="D31" s="16"/>
      <c r="E31" s="16"/>
      <c r="F31" s="17">
        <f>SUM(F24:F30)</f>
        <v>0</v>
      </c>
    </row>
    <row r="32" spans="3:6" x14ac:dyDescent="0.3">
      <c r="D32" s="9"/>
      <c r="E32" s="9"/>
    </row>
    <row r="33" spans="3:5" x14ac:dyDescent="0.3">
      <c r="C33" s="44" t="s">
        <v>25</v>
      </c>
      <c r="D33" s="45">
        <f>F31+D11</f>
        <v>363410</v>
      </c>
      <c r="E33" s="9"/>
    </row>
    <row r="34" spans="3:5" x14ac:dyDescent="0.3">
      <c r="C34" s="44"/>
      <c r="D34" s="44"/>
      <c r="E34" s="9"/>
    </row>
    <row r="35" spans="3:5" x14ac:dyDescent="0.3">
      <c r="D35" s="9"/>
      <c r="E35" s="9"/>
    </row>
    <row r="36" spans="3:5" ht="23" x14ac:dyDescent="0.5">
      <c r="C36" s="3" t="s">
        <v>2</v>
      </c>
      <c r="D36" s="11"/>
      <c r="E36" s="11"/>
    </row>
    <row r="37" spans="3:5" ht="14.5" thickBot="1" x14ac:dyDescent="0.35">
      <c r="D37" s="9"/>
      <c r="E37" s="9"/>
    </row>
    <row r="38" spans="3:5" ht="14.5" thickBot="1" x14ac:dyDescent="0.35">
      <c r="C38" s="35" t="s">
        <v>12</v>
      </c>
      <c r="D38" s="36" t="s">
        <v>39</v>
      </c>
    </row>
    <row r="39" spans="3:5" x14ac:dyDescent="0.3">
      <c r="C39" s="5" t="s">
        <v>4</v>
      </c>
      <c r="D39" s="19">
        <v>63000</v>
      </c>
    </row>
    <row r="40" spans="3:5" x14ac:dyDescent="0.3">
      <c r="C40" s="5" t="s">
        <v>5</v>
      </c>
      <c r="D40" s="4"/>
    </row>
    <row r="41" spans="3:5" x14ac:dyDescent="0.3">
      <c r="C41" s="5" t="s">
        <v>6</v>
      </c>
      <c r="D41" s="4"/>
    </row>
    <row r="42" spans="3:5" x14ac:dyDescent="0.3">
      <c r="C42" s="5" t="s">
        <v>7</v>
      </c>
      <c r="D42" s="4"/>
    </row>
    <row r="43" spans="3:5" ht="14.5" thickBot="1" x14ac:dyDescent="0.35">
      <c r="C43" s="5" t="s">
        <v>8</v>
      </c>
      <c r="D43" s="4"/>
    </row>
    <row r="44" spans="3:5" ht="14.5" thickBot="1" x14ac:dyDescent="0.35">
      <c r="C44" s="15" t="s">
        <v>11</v>
      </c>
      <c r="D44" s="16">
        <f>SUM(D38:D43)</f>
        <v>63000</v>
      </c>
    </row>
    <row r="45" spans="3:5" ht="14.5" thickBot="1" x14ac:dyDescent="0.35">
      <c r="D45" s="9"/>
    </row>
    <row r="46" spans="3:5" x14ac:dyDescent="0.3">
      <c r="C46" s="7" t="s">
        <v>12</v>
      </c>
      <c r="D46" s="22" t="s">
        <v>45</v>
      </c>
    </row>
    <row r="47" spans="3:5" x14ac:dyDescent="0.3">
      <c r="C47" s="5" t="s">
        <v>4</v>
      </c>
      <c r="D47" s="4">
        <v>125866</v>
      </c>
    </row>
    <row r="48" spans="3:5" x14ac:dyDescent="0.3">
      <c r="C48" s="5" t="s">
        <v>5</v>
      </c>
      <c r="D48" s="4"/>
    </row>
    <row r="49" spans="3:4" x14ac:dyDescent="0.3">
      <c r="C49" s="5" t="s">
        <v>6</v>
      </c>
      <c r="D49" s="4"/>
    </row>
    <row r="50" spans="3:4" x14ac:dyDescent="0.3">
      <c r="C50" s="5" t="s">
        <v>7</v>
      </c>
      <c r="D50" s="4"/>
    </row>
    <row r="51" spans="3:4" ht="14.5" thickBot="1" x14ac:dyDescent="0.35">
      <c r="C51" s="5" t="s">
        <v>8</v>
      </c>
      <c r="D51" s="4"/>
    </row>
    <row r="52" spans="3:4" ht="14.5" thickBot="1" x14ac:dyDescent="0.35">
      <c r="C52" s="15" t="s">
        <v>11</v>
      </c>
      <c r="D52" s="16">
        <f>SUM(D46:D51)</f>
        <v>125866</v>
      </c>
    </row>
    <row r="53" spans="3:4" ht="14.5" thickBot="1" x14ac:dyDescent="0.35">
      <c r="D53" s="9"/>
    </row>
    <row r="54" spans="3:4" x14ac:dyDescent="0.3">
      <c r="C54" s="7" t="s">
        <v>12</v>
      </c>
      <c r="D54" s="22" t="s">
        <v>26</v>
      </c>
    </row>
    <row r="55" spans="3:4" x14ac:dyDescent="0.3">
      <c r="C55" s="5" t="s">
        <v>4</v>
      </c>
      <c r="D55" s="4">
        <v>30000</v>
      </c>
    </row>
    <row r="56" spans="3:4" x14ac:dyDescent="0.3">
      <c r="C56" s="5" t="s">
        <v>5</v>
      </c>
      <c r="D56" s="4"/>
    </row>
    <row r="57" spans="3:4" ht="14.5" thickBot="1" x14ac:dyDescent="0.35">
      <c r="C57" s="5" t="s">
        <v>6</v>
      </c>
      <c r="D57" s="4"/>
    </row>
    <row r="58" spans="3:4" ht="14.5" thickBot="1" x14ac:dyDescent="0.35">
      <c r="C58" s="15" t="s">
        <v>11</v>
      </c>
      <c r="D58" s="16">
        <f>SUM(D54:D57)</f>
        <v>30000</v>
      </c>
    </row>
    <row r="59" spans="3:4" ht="14.5" thickBot="1" x14ac:dyDescent="0.35">
      <c r="C59" s="18"/>
      <c r="D59" s="9"/>
    </row>
    <row r="60" spans="3:4" x14ac:dyDescent="0.3">
      <c r="C60" s="7" t="s">
        <v>12</v>
      </c>
      <c r="D60" s="22" t="s">
        <v>27</v>
      </c>
    </row>
    <row r="61" spans="3:4" x14ac:dyDescent="0.3">
      <c r="C61" s="5" t="s">
        <v>4</v>
      </c>
      <c r="D61" s="4">
        <v>1050</v>
      </c>
    </row>
    <row r="62" spans="3:4" x14ac:dyDescent="0.3">
      <c r="C62" s="5" t="s">
        <v>5</v>
      </c>
      <c r="D62" s="4"/>
    </row>
    <row r="63" spans="3:4" x14ac:dyDescent="0.3">
      <c r="C63" s="5" t="s">
        <v>6</v>
      </c>
      <c r="D63" s="4"/>
    </row>
    <row r="64" spans="3:4" x14ac:dyDescent="0.3">
      <c r="C64" s="5" t="s">
        <v>7</v>
      </c>
      <c r="D64" s="4"/>
    </row>
    <row r="65" spans="3:4" ht="14.5" thickBot="1" x14ac:dyDescent="0.35">
      <c r="C65" s="5" t="s">
        <v>8</v>
      </c>
      <c r="D65" s="4"/>
    </row>
    <row r="66" spans="3:4" ht="14.5" thickBot="1" x14ac:dyDescent="0.35">
      <c r="C66" s="15" t="s">
        <v>11</v>
      </c>
      <c r="D66" s="16">
        <f>SUM(D60:D65)</f>
        <v>1050</v>
      </c>
    </row>
    <row r="67" spans="3:4" ht="14.5" thickBot="1" x14ac:dyDescent="0.35">
      <c r="D67" s="9"/>
    </row>
    <row r="68" spans="3:4" x14ac:dyDescent="0.3">
      <c r="C68" s="7" t="s">
        <v>12</v>
      </c>
      <c r="D68" s="22" t="s">
        <v>27</v>
      </c>
    </row>
    <row r="69" spans="3:4" x14ac:dyDescent="0.3">
      <c r="C69" s="5" t="s">
        <v>4</v>
      </c>
      <c r="D69" s="4"/>
    </row>
    <row r="70" spans="3:4" x14ac:dyDescent="0.3">
      <c r="C70" s="5" t="s">
        <v>5</v>
      </c>
      <c r="D70" s="4"/>
    </row>
    <row r="71" spans="3:4" x14ac:dyDescent="0.3">
      <c r="C71" s="5" t="s">
        <v>6</v>
      </c>
      <c r="D71" s="4"/>
    </row>
    <row r="72" spans="3:4" ht="14.5" thickBot="1" x14ac:dyDescent="0.35">
      <c r="C72" s="6" t="s">
        <v>7</v>
      </c>
      <c r="D72" s="23"/>
    </row>
    <row r="73" spans="3:4" ht="14.5" thickBot="1" x14ac:dyDescent="0.35">
      <c r="C73" s="15" t="s">
        <v>11</v>
      </c>
      <c r="D73" s="16">
        <f>SUM(D68:D72)</f>
        <v>0</v>
      </c>
    </row>
    <row r="74" spans="3:4" ht="14.5" thickBot="1" x14ac:dyDescent="0.35">
      <c r="C74" s="18"/>
      <c r="D74" s="9"/>
    </row>
    <row r="75" spans="3:4" x14ac:dyDescent="0.3">
      <c r="C75" s="7" t="s">
        <v>12</v>
      </c>
      <c r="D75" s="22" t="s">
        <v>30</v>
      </c>
    </row>
    <row r="76" spans="3:4" x14ac:dyDescent="0.3">
      <c r="C76" s="5" t="s">
        <v>4</v>
      </c>
      <c r="D76" s="4"/>
    </row>
    <row r="77" spans="3:4" x14ac:dyDescent="0.3">
      <c r="C77" s="5" t="s">
        <v>5</v>
      </c>
      <c r="D77" s="4"/>
    </row>
    <row r="78" spans="3:4" x14ac:dyDescent="0.3">
      <c r="C78" s="5" t="s">
        <v>6</v>
      </c>
      <c r="D78" s="4"/>
    </row>
    <row r="79" spans="3:4" ht="14.5" thickBot="1" x14ac:dyDescent="0.35">
      <c r="C79" s="6" t="s">
        <v>7</v>
      </c>
      <c r="D79" s="23"/>
    </row>
    <row r="80" spans="3:4" ht="14.5" thickBot="1" x14ac:dyDescent="0.35">
      <c r="C80" s="15" t="s">
        <v>11</v>
      </c>
      <c r="D80" s="16">
        <f>SUM(D75:D79)</f>
        <v>0</v>
      </c>
    </row>
    <row r="81" spans="3:5" ht="14.5" thickBot="1" x14ac:dyDescent="0.35">
      <c r="D81" s="9"/>
      <c r="E81" s="9"/>
    </row>
    <row r="82" spans="3:5" x14ac:dyDescent="0.3">
      <c r="C82" s="7" t="s">
        <v>12</v>
      </c>
      <c r="D82" s="22" t="s">
        <v>28</v>
      </c>
    </row>
    <row r="83" spans="3:5" x14ac:dyDescent="0.3">
      <c r="C83" s="5" t="s">
        <v>4</v>
      </c>
      <c r="D83" s="4"/>
    </row>
    <row r="84" spans="3:5" x14ac:dyDescent="0.3">
      <c r="C84" s="5" t="s">
        <v>5</v>
      </c>
      <c r="D84" s="12"/>
    </row>
    <row r="85" spans="3:5" x14ac:dyDescent="0.3">
      <c r="C85" s="5" t="s">
        <v>6</v>
      </c>
      <c r="D85" s="12"/>
    </row>
    <row r="86" spans="3:5" x14ac:dyDescent="0.3">
      <c r="C86" s="5" t="s">
        <v>7</v>
      </c>
      <c r="D86" s="13"/>
    </row>
    <row r="87" spans="3:5" x14ac:dyDescent="0.3">
      <c r="C87" s="5" t="s">
        <v>8</v>
      </c>
      <c r="D87" s="13"/>
    </row>
    <row r="88" spans="3:5" x14ac:dyDescent="0.3">
      <c r="C88" s="5" t="s">
        <v>9</v>
      </c>
      <c r="D88" s="13"/>
    </row>
    <row r="89" spans="3:5" ht="14.5" thickBot="1" x14ac:dyDescent="0.35">
      <c r="C89" s="5" t="s">
        <v>10</v>
      </c>
      <c r="D89" s="13"/>
    </row>
    <row r="90" spans="3:5" ht="14.5" thickBot="1" x14ac:dyDescent="0.35">
      <c r="C90" s="15" t="s">
        <v>11</v>
      </c>
      <c r="D90" s="16">
        <f>SUM(D82:D89)</f>
        <v>0</v>
      </c>
    </row>
    <row r="91" spans="3:5" ht="14.5" thickBot="1" x14ac:dyDescent="0.35">
      <c r="C91" s="18"/>
      <c r="D91" s="9"/>
    </row>
    <row r="92" spans="3:5" x14ac:dyDescent="0.3">
      <c r="C92" s="42" t="s">
        <v>24</v>
      </c>
      <c r="D92" s="20">
        <f>D90+D73+D66+D58+D52+D44+D80</f>
        <v>219916</v>
      </c>
    </row>
    <row r="93" spans="3:5" ht="14.5" thickBot="1" x14ac:dyDescent="0.35">
      <c r="C93" s="43"/>
      <c r="D93" s="24"/>
    </row>
    <row r="94" spans="3:5" ht="14.5" thickBot="1" x14ac:dyDescent="0.35"/>
    <row r="95" spans="3:5" ht="14.5" thickBot="1" x14ac:dyDescent="0.35">
      <c r="C95" s="46" t="s">
        <v>29</v>
      </c>
      <c r="D95" s="47">
        <f>D18-D92</f>
        <v>-75916</v>
      </c>
    </row>
    <row r="96" spans="3:5" ht="14.5" thickBot="1" x14ac:dyDescent="0.35">
      <c r="C96" s="53">
        <v>0.5</v>
      </c>
      <c r="D96" s="48">
        <f>D95*0.5</f>
        <v>-37958</v>
      </c>
    </row>
    <row r="97" spans="3:4" ht="14.5" thickBot="1" x14ac:dyDescent="0.35">
      <c r="C97" s="54"/>
      <c r="D97" s="55"/>
    </row>
  </sheetData>
  <mergeCells count="2">
    <mergeCell ref="C4:E4"/>
    <mergeCell ref="D6:E7"/>
  </mergeCells>
  <pageMargins left="0.7" right="0.7" top="0.75" bottom="0.75" header="0.3" footer="0.3"/>
  <pageSetup paperSize="9" scale="5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84C3-01CF-4380-99AB-3978E3D0BDC8}">
  <sheetPr>
    <pageSetUpPr fitToPage="1"/>
  </sheetPr>
  <dimension ref="C3:F97"/>
  <sheetViews>
    <sheetView rightToLeft="1" topLeftCell="A78" workbookViewId="0">
      <selection activeCell="D95" sqref="D95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105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41</v>
      </c>
      <c r="E10" s="30" t="s">
        <v>31</v>
      </c>
    </row>
    <row r="11" spans="3:6" x14ac:dyDescent="0.3">
      <c r="C11" s="32" t="s">
        <v>3</v>
      </c>
      <c r="D11" s="33">
        <v>280000</v>
      </c>
      <c r="E11" s="34"/>
    </row>
    <row r="12" spans="3:6" x14ac:dyDescent="0.3">
      <c r="C12" s="5" t="s">
        <v>4</v>
      </c>
      <c r="D12" s="33"/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ht="14.5" thickBot="1" x14ac:dyDescent="0.35">
      <c r="C17" s="6" t="s">
        <v>17</v>
      </c>
      <c r="D17" s="31"/>
      <c r="E17" s="52"/>
    </row>
    <row r="18" spans="3:6" ht="14.5" thickBot="1" x14ac:dyDescent="0.35">
      <c r="C18" s="39" t="s">
        <v>11</v>
      </c>
      <c r="D18" s="41"/>
      <c r="E18" s="40"/>
    </row>
    <row r="19" spans="3:6" ht="14.5" thickBot="1" x14ac:dyDescent="0.35">
      <c r="C19" s="37" t="s">
        <v>23</v>
      </c>
      <c r="D19" s="41">
        <f>D11-D18</f>
        <v>280000</v>
      </c>
      <c r="E19" s="38"/>
    </row>
    <row r="20" spans="3:6" x14ac:dyDescent="0.3">
      <c r="D20" s="9"/>
      <c r="E20" s="9"/>
    </row>
    <row r="21" spans="3:6" ht="20" x14ac:dyDescent="0.4">
      <c r="C21" s="2" t="s">
        <v>16</v>
      </c>
      <c r="D21" s="9"/>
      <c r="E21" s="9"/>
    </row>
    <row r="22" spans="3:6" ht="14.5" thickBot="1" x14ac:dyDescent="0.35">
      <c r="D22" s="9"/>
      <c r="E22" s="9"/>
    </row>
    <row r="23" spans="3:6" ht="14.5" thickBot="1" x14ac:dyDescent="0.35">
      <c r="C23" s="28" t="s">
        <v>18</v>
      </c>
      <c r="D23" s="29" t="s">
        <v>21</v>
      </c>
      <c r="E23" s="29" t="s">
        <v>22</v>
      </c>
      <c r="F23" s="30" t="s">
        <v>19</v>
      </c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26"/>
      <c r="D27" s="19"/>
      <c r="E27" s="19"/>
      <c r="F27" s="27"/>
    </row>
    <row r="28" spans="3:6" x14ac:dyDescent="0.3">
      <c r="C28" s="49"/>
      <c r="D28" s="19"/>
      <c r="E28" s="4"/>
      <c r="F28" s="21"/>
    </row>
    <row r="29" spans="3:6" x14ac:dyDescent="0.3">
      <c r="C29" s="49"/>
      <c r="D29" s="19"/>
      <c r="E29" s="4"/>
      <c r="F29" s="21"/>
    </row>
    <row r="30" spans="3:6" ht="14.5" thickBot="1" x14ac:dyDescent="0.35">
      <c r="C30" s="50"/>
      <c r="D30" s="10"/>
      <c r="E30" s="10"/>
      <c r="F30" s="51"/>
    </row>
    <row r="31" spans="3:6" ht="14.5" thickBot="1" x14ac:dyDescent="0.35">
      <c r="C31" s="25" t="s">
        <v>20</v>
      </c>
      <c r="D31" s="16"/>
      <c r="E31" s="16"/>
      <c r="F31" s="17">
        <f>SUM(F24:F30)</f>
        <v>0</v>
      </c>
    </row>
    <row r="32" spans="3:6" x14ac:dyDescent="0.3">
      <c r="D32" s="9"/>
      <c r="E32" s="9"/>
    </row>
    <row r="33" spans="3:5" x14ac:dyDescent="0.3">
      <c r="C33" s="44" t="s">
        <v>25</v>
      </c>
      <c r="D33" s="45">
        <f>F31+D19</f>
        <v>280000</v>
      </c>
      <c r="E33" s="9"/>
    </row>
    <row r="34" spans="3:5" x14ac:dyDescent="0.3">
      <c r="C34" s="44"/>
      <c r="D34" s="44"/>
      <c r="E34" s="9"/>
    </row>
    <row r="35" spans="3:5" x14ac:dyDescent="0.3">
      <c r="D35" s="9"/>
      <c r="E35" s="9"/>
    </row>
    <row r="36" spans="3:5" ht="23" x14ac:dyDescent="0.5">
      <c r="C36" s="3" t="s">
        <v>2</v>
      </c>
      <c r="D36" s="11"/>
      <c r="E36" s="11"/>
    </row>
    <row r="37" spans="3:5" ht="14.5" thickBot="1" x14ac:dyDescent="0.35">
      <c r="D37" s="9"/>
      <c r="E37" s="9"/>
    </row>
    <row r="38" spans="3:5" ht="14.5" thickBot="1" x14ac:dyDescent="0.35">
      <c r="C38" s="35" t="s">
        <v>12</v>
      </c>
      <c r="D38" s="36" t="s">
        <v>35</v>
      </c>
    </row>
    <row r="39" spans="3:5" x14ac:dyDescent="0.3">
      <c r="C39" s="5" t="s">
        <v>4</v>
      </c>
      <c r="D39" s="19"/>
    </row>
    <row r="40" spans="3:5" x14ac:dyDescent="0.3">
      <c r="C40" s="5" t="s">
        <v>5</v>
      </c>
      <c r="D40" s="4"/>
    </row>
    <row r="41" spans="3:5" x14ac:dyDescent="0.3">
      <c r="C41" s="5" t="s">
        <v>6</v>
      </c>
      <c r="D41" s="4"/>
    </row>
    <row r="42" spans="3:5" x14ac:dyDescent="0.3">
      <c r="C42" s="5" t="s">
        <v>7</v>
      </c>
      <c r="D42" s="4"/>
    </row>
    <row r="43" spans="3:5" ht="14.5" thickBot="1" x14ac:dyDescent="0.35">
      <c r="C43" s="5" t="s">
        <v>8</v>
      </c>
      <c r="D43" s="4"/>
    </row>
    <row r="44" spans="3:5" ht="14.5" thickBot="1" x14ac:dyDescent="0.35">
      <c r="C44" s="15" t="s">
        <v>11</v>
      </c>
      <c r="D44" s="16">
        <f>SUM(D38:D43)</f>
        <v>0</v>
      </c>
    </row>
    <row r="45" spans="3:5" ht="14.5" thickBot="1" x14ac:dyDescent="0.35">
      <c r="D45" s="9"/>
    </row>
    <row r="46" spans="3:5" x14ac:dyDescent="0.3">
      <c r="C46" s="7" t="s">
        <v>12</v>
      </c>
      <c r="D46" s="22" t="s">
        <v>27</v>
      </c>
    </row>
    <row r="47" spans="3:5" x14ac:dyDescent="0.3">
      <c r="C47" s="5" t="s">
        <v>4</v>
      </c>
      <c r="D47" s="4">
        <v>18360</v>
      </c>
    </row>
    <row r="48" spans="3:5" x14ac:dyDescent="0.3">
      <c r="C48" s="5" t="s">
        <v>5</v>
      </c>
      <c r="D48" s="4"/>
    </row>
    <row r="49" spans="3:4" x14ac:dyDescent="0.3">
      <c r="C49" s="5" t="s">
        <v>6</v>
      </c>
      <c r="D49" s="4"/>
    </row>
    <row r="50" spans="3:4" x14ac:dyDescent="0.3">
      <c r="C50" s="5" t="s">
        <v>7</v>
      </c>
      <c r="D50" s="4"/>
    </row>
    <row r="51" spans="3:4" ht="14.5" thickBot="1" x14ac:dyDescent="0.35">
      <c r="C51" s="5" t="s">
        <v>8</v>
      </c>
      <c r="D51" s="4"/>
    </row>
    <row r="52" spans="3:4" ht="14.5" thickBot="1" x14ac:dyDescent="0.35">
      <c r="C52" s="15" t="s">
        <v>11</v>
      </c>
      <c r="D52" s="16">
        <f>SUM(D46:D51)</f>
        <v>18360</v>
      </c>
    </row>
    <row r="53" spans="3:4" ht="14.5" thickBot="1" x14ac:dyDescent="0.35">
      <c r="D53" s="9"/>
    </row>
    <row r="54" spans="3:4" x14ac:dyDescent="0.3">
      <c r="C54" s="7" t="s">
        <v>12</v>
      </c>
      <c r="D54" s="22" t="s">
        <v>26</v>
      </c>
    </row>
    <row r="55" spans="3:4" x14ac:dyDescent="0.3">
      <c r="C55" s="5" t="s">
        <v>4</v>
      </c>
      <c r="D55" s="4">
        <v>75000</v>
      </c>
    </row>
    <row r="56" spans="3:4" x14ac:dyDescent="0.3">
      <c r="C56" s="5" t="s">
        <v>5</v>
      </c>
      <c r="D56" s="4"/>
    </row>
    <row r="57" spans="3:4" ht="14.5" thickBot="1" x14ac:dyDescent="0.35">
      <c r="C57" s="5" t="s">
        <v>6</v>
      </c>
      <c r="D57" s="4"/>
    </row>
    <row r="58" spans="3:4" ht="14.5" thickBot="1" x14ac:dyDescent="0.35">
      <c r="C58" s="15" t="s">
        <v>11</v>
      </c>
      <c r="D58" s="16">
        <f>SUM(D54:D57)</f>
        <v>75000</v>
      </c>
    </row>
    <row r="59" spans="3:4" ht="14.5" thickBot="1" x14ac:dyDescent="0.35">
      <c r="C59" s="18"/>
      <c r="D59" s="9"/>
    </row>
    <row r="60" spans="3:4" x14ac:dyDescent="0.3">
      <c r="C60" s="7" t="s">
        <v>12</v>
      </c>
      <c r="D60" s="22"/>
    </row>
    <row r="61" spans="3:4" x14ac:dyDescent="0.3">
      <c r="C61" s="5" t="s">
        <v>4</v>
      </c>
      <c r="D61" s="4"/>
    </row>
    <row r="62" spans="3:4" x14ac:dyDescent="0.3">
      <c r="C62" s="5" t="s">
        <v>5</v>
      </c>
      <c r="D62" s="4"/>
    </row>
    <row r="63" spans="3:4" x14ac:dyDescent="0.3">
      <c r="C63" s="5" t="s">
        <v>6</v>
      </c>
      <c r="D63" s="4"/>
    </row>
    <row r="64" spans="3:4" x14ac:dyDescent="0.3">
      <c r="C64" s="5" t="s">
        <v>7</v>
      </c>
      <c r="D64" s="4"/>
    </row>
    <row r="65" spans="3:4" ht="14.5" thickBot="1" x14ac:dyDescent="0.35">
      <c r="C65" s="5" t="s">
        <v>8</v>
      </c>
      <c r="D65" s="4"/>
    </row>
    <row r="66" spans="3:4" ht="14.5" thickBot="1" x14ac:dyDescent="0.35">
      <c r="C66" s="15" t="s">
        <v>11</v>
      </c>
      <c r="D66" s="16">
        <f>SUM(D60:D65)</f>
        <v>0</v>
      </c>
    </row>
    <row r="67" spans="3:4" ht="14.5" thickBot="1" x14ac:dyDescent="0.35">
      <c r="D67" s="9"/>
    </row>
    <row r="68" spans="3:4" x14ac:dyDescent="0.3">
      <c r="C68" s="7" t="s">
        <v>12</v>
      </c>
      <c r="D68" s="22" t="s">
        <v>27</v>
      </c>
    </row>
    <row r="69" spans="3:4" x14ac:dyDescent="0.3">
      <c r="C69" s="5" t="s">
        <v>4</v>
      </c>
      <c r="D69" s="4"/>
    </row>
    <row r="70" spans="3:4" x14ac:dyDescent="0.3">
      <c r="C70" s="5" t="s">
        <v>5</v>
      </c>
      <c r="D70" s="4"/>
    </row>
    <row r="71" spans="3:4" x14ac:dyDescent="0.3">
      <c r="C71" s="5" t="s">
        <v>6</v>
      </c>
      <c r="D71" s="4"/>
    </row>
    <row r="72" spans="3:4" ht="14.5" thickBot="1" x14ac:dyDescent="0.35">
      <c r="C72" s="6" t="s">
        <v>7</v>
      </c>
      <c r="D72" s="23"/>
    </row>
    <row r="73" spans="3:4" ht="14.5" thickBot="1" x14ac:dyDescent="0.35">
      <c r="C73" s="15" t="s">
        <v>11</v>
      </c>
      <c r="D73" s="16">
        <f>SUM(D68:D72)</f>
        <v>0</v>
      </c>
    </row>
    <row r="74" spans="3:4" ht="14.5" thickBot="1" x14ac:dyDescent="0.35">
      <c r="C74" s="18"/>
      <c r="D74" s="9"/>
    </row>
    <row r="75" spans="3:4" x14ac:dyDescent="0.3">
      <c r="C75" s="7" t="s">
        <v>12</v>
      </c>
      <c r="D75" s="22" t="s">
        <v>32</v>
      </c>
    </row>
    <row r="76" spans="3:4" x14ac:dyDescent="0.3">
      <c r="C76" s="5" t="s">
        <v>4</v>
      </c>
      <c r="D76" s="4"/>
    </row>
    <row r="77" spans="3:4" x14ac:dyDescent="0.3">
      <c r="C77" s="5" t="s">
        <v>5</v>
      </c>
      <c r="D77" s="4"/>
    </row>
    <row r="78" spans="3:4" x14ac:dyDescent="0.3">
      <c r="C78" s="5" t="s">
        <v>6</v>
      </c>
      <c r="D78" s="4"/>
    </row>
    <row r="79" spans="3:4" ht="14.5" thickBot="1" x14ac:dyDescent="0.35">
      <c r="C79" s="6" t="s">
        <v>7</v>
      </c>
      <c r="D79" s="23"/>
    </row>
    <row r="80" spans="3:4" ht="14.5" thickBot="1" x14ac:dyDescent="0.35">
      <c r="C80" s="15" t="s">
        <v>11</v>
      </c>
      <c r="D80" s="16">
        <f>SUM(D75:D79)</f>
        <v>0</v>
      </c>
    </row>
    <row r="81" spans="3:5" ht="14.5" thickBot="1" x14ac:dyDescent="0.35">
      <c r="D81" s="9"/>
      <c r="E81" s="9"/>
    </row>
    <row r="82" spans="3:5" x14ac:dyDescent="0.3">
      <c r="C82" s="7" t="s">
        <v>12</v>
      </c>
      <c r="D82" s="22" t="s">
        <v>28</v>
      </c>
    </row>
    <row r="83" spans="3:5" x14ac:dyDescent="0.3">
      <c r="C83" s="5" t="s">
        <v>4</v>
      </c>
      <c r="D83" s="4"/>
    </row>
    <row r="84" spans="3:5" x14ac:dyDescent="0.3">
      <c r="C84" s="5" t="s">
        <v>5</v>
      </c>
      <c r="D84" s="12"/>
    </row>
    <row r="85" spans="3:5" x14ac:dyDescent="0.3">
      <c r="C85" s="5" t="s">
        <v>6</v>
      </c>
      <c r="D85" s="12"/>
    </row>
    <row r="86" spans="3:5" x14ac:dyDescent="0.3">
      <c r="C86" s="5" t="s">
        <v>7</v>
      </c>
      <c r="D86" s="13"/>
    </row>
    <row r="87" spans="3:5" x14ac:dyDescent="0.3">
      <c r="C87" s="5" t="s">
        <v>8</v>
      </c>
      <c r="D87" s="13"/>
    </row>
    <row r="88" spans="3:5" x14ac:dyDescent="0.3">
      <c r="C88" s="5" t="s">
        <v>9</v>
      </c>
      <c r="D88" s="13"/>
    </row>
    <row r="89" spans="3:5" ht="14.5" thickBot="1" x14ac:dyDescent="0.35">
      <c r="C89" s="5" t="s">
        <v>10</v>
      </c>
      <c r="D89" s="13"/>
    </row>
    <row r="90" spans="3:5" ht="14.5" thickBot="1" x14ac:dyDescent="0.35">
      <c r="C90" s="15" t="s">
        <v>11</v>
      </c>
      <c r="D90" s="16">
        <f>SUM(D82:D89)</f>
        <v>0</v>
      </c>
    </row>
    <row r="91" spans="3:5" ht="14.5" thickBot="1" x14ac:dyDescent="0.35">
      <c r="C91" s="18"/>
      <c r="D91" s="9"/>
    </row>
    <row r="92" spans="3:5" x14ac:dyDescent="0.3">
      <c r="C92" s="42" t="s">
        <v>24</v>
      </c>
      <c r="D92" s="20">
        <f>D90+D73+D66+D58+D52+D44+D80</f>
        <v>93360</v>
      </c>
    </row>
    <row r="93" spans="3:5" ht="14.5" thickBot="1" x14ac:dyDescent="0.35">
      <c r="C93" s="43"/>
      <c r="D93" s="24"/>
    </row>
    <row r="94" spans="3:5" ht="14.5" thickBot="1" x14ac:dyDescent="0.35"/>
    <row r="95" spans="3:5" ht="14.5" thickBot="1" x14ac:dyDescent="0.35">
      <c r="C95" s="46" t="s">
        <v>29</v>
      </c>
      <c r="D95" s="47">
        <f>D33-D92</f>
        <v>186640</v>
      </c>
    </row>
    <row r="96" spans="3:5" ht="14.5" thickBot="1" x14ac:dyDescent="0.35">
      <c r="C96" s="53">
        <v>0.5</v>
      </c>
      <c r="D96" s="48">
        <f>D95*0.5</f>
        <v>93320</v>
      </c>
    </row>
    <row r="97" spans="3:4" ht="14.5" thickBot="1" x14ac:dyDescent="0.35">
      <c r="C97" s="54"/>
      <c r="D97" s="55"/>
    </row>
  </sheetData>
  <mergeCells count="2">
    <mergeCell ref="C4:E4"/>
    <mergeCell ref="D6:E7"/>
  </mergeCells>
  <pageMargins left="0.7" right="0.7" top="0.75" bottom="0.75" header="0.3" footer="0.3"/>
  <pageSetup paperSize="9" scale="5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3:F97"/>
  <sheetViews>
    <sheetView rightToLeft="1" topLeftCell="A74" workbookViewId="0">
      <selection activeCell="D96" sqref="D96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46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41</v>
      </c>
      <c r="E10" s="30" t="s">
        <v>31</v>
      </c>
    </row>
    <row r="11" spans="3:6" x14ac:dyDescent="0.3">
      <c r="C11" s="32" t="s">
        <v>3</v>
      </c>
      <c r="D11" s="33">
        <v>328830</v>
      </c>
      <c r="E11" s="34"/>
    </row>
    <row r="12" spans="3:6" x14ac:dyDescent="0.3">
      <c r="C12" s="5" t="s">
        <v>4</v>
      </c>
      <c r="D12" s="33">
        <v>328830</v>
      </c>
      <c r="E12" s="52"/>
    </row>
    <row r="13" spans="3:6" x14ac:dyDescent="0.3">
      <c r="C13" s="5" t="s">
        <v>5</v>
      </c>
      <c r="D13" s="4"/>
      <c r="E13" s="52"/>
      <c r="F13" s="9"/>
    </row>
    <row r="14" spans="3:6" x14ac:dyDescent="0.3">
      <c r="C14" s="5" t="s">
        <v>6</v>
      </c>
      <c r="D14" s="4"/>
      <c r="E14" s="52"/>
    </row>
    <row r="15" spans="3:6" x14ac:dyDescent="0.3">
      <c r="C15" s="5" t="s">
        <v>7</v>
      </c>
      <c r="D15" s="4"/>
      <c r="E15" s="52"/>
    </row>
    <row r="16" spans="3:6" x14ac:dyDescent="0.3">
      <c r="C16" s="5" t="s">
        <v>8</v>
      </c>
      <c r="D16" s="4"/>
      <c r="E16" s="52"/>
    </row>
    <row r="17" spans="3:6" ht="14.5" thickBot="1" x14ac:dyDescent="0.35">
      <c r="C17" s="6" t="s">
        <v>17</v>
      </c>
      <c r="D17" s="31"/>
      <c r="E17" s="52"/>
    </row>
    <row r="18" spans="3:6" ht="14.5" thickBot="1" x14ac:dyDescent="0.35">
      <c r="C18" s="39" t="s">
        <v>11</v>
      </c>
      <c r="D18" s="41"/>
      <c r="E18" s="40"/>
    </row>
    <row r="19" spans="3:6" ht="14.5" thickBot="1" x14ac:dyDescent="0.35">
      <c r="C19" s="37" t="s">
        <v>23</v>
      </c>
      <c r="D19" s="41">
        <f>D11-D18</f>
        <v>328830</v>
      </c>
      <c r="E19" s="38"/>
    </row>
    <row r="20" spans="3:6" x14ac:dyDescent="0.3">
      <c r="D20" s="9"/>
      <c r="E20" s="9"/>
    </row>
    <row r="21" spans="3:6" ht="20" x14ac:dyDescent="0.4">
      <c r="C21" s="2" t="s">
        <v>16</v>
      </c>
      <c r="D21" s="9"/>
      <c r="E21" s="9"/>
    </row>
    <row r="22" spans="3:6" ht="14.5" thickBot="1" x14ac:dyDescent="0.35">
      <c r="D22" s="9"/>
      <c r="E22" s="9"/>
    </row>
    <row r="23" spans="3:6" ht="14.5" thickBot="1" x14ac:dyDescent="0.35">
      <c r="C23" s="28" t="s">
        <v>18</v>
      </c>
      <c r="D23" s="29" t="s">
        <v>21</v>
      </c>
      <c r="E23" s="29" t="s">
        <v>22</v>
      </c>
      <c r="F23" s="30" t="s">
        <v>19</v>
      </c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26"/>
      <c r="D26" s="19"/>
      <c r="E26" s="19"/>
      <c r="F26" s="27"/>
    </row>
    <row r="27" spans="3:6" x14ac:dyDescent="0.3">
      <c r="C27" s="26"/>
      <c r="D27" s="19"/>
      <c r="E27" s="19"/>
      <c r="F27" s="27"/>
    </row>
    <row r="28" spans="3:6" x14ac:dyDescent="0.3">
      <c r="C28" s="49"/>
      <c r="D28" s="19"/>
      <c r="E28" s="4"/>
      <c r="F28" s="21"/>
    </row>
    <row r="29" spans="3:6" x14ac:dyDescent="0.3">
      <c r="C29" s="49"/>
      <c r="D29" s="19"/>
      <c r="E29" s="4"/>
      <c r="F29" s="21"/>
    </row>
    <row r="30" spans="3:6" ht="14.5" thickBot="1" x14ac:dyDescent="0.35">
      <c r="C30" s="50"/>
      <c r="D30" s="10"/>
      <c r="E30" s="10"/>
      <c r="F30" s="51"/>
    </row>
    <row r="31" spans="3:6" ht="14.5" thickBot="1" x14ac:dyDescent="0.35">
      <c r="C31" s="25" t="s">
        <v>20</v>
      </c>
      <c r="D31" s="16"/>
      <c r="E31" s="16"/>
      <c r="F31" s="17">
        <f>SUM(F24:F30)</f>
        <v>0</v>
      </c>
    </row>
    <row r="32" spans="3:6" x14ac:dyDescent="0.3">
      <c r="D32" s="9"/>
      <c r="E32" s="9"/>
    </row>
    <row r="33" spans="3:5" x14ac:dyDescent="0.3">
      <c r="C33" s="44" t="s">
        <v>25</v>
      </c>
      <c r="D33" s="45">
        <f>F31+D19</f>
        <v>328830</v>
      </c>
      <c r="E33" s="9"/>
    </row>
    <row r="34" spans="3:5" x14ac:dyDescent="0.3">
      <c r="C34" s="44"/>
      <c r="D34" s="44"/>
      <c r="E34" s="9"/>
    </row>
    <row r="35" spans="3:5" x14ac:dyDescent="0.3">
      <c r="D35" s="9"/>
      <c r="E35" s="9"/>
    </row>
    <row r="36" spans="3:5" ht="23" x14ac:dyDescent="0.5">
      <c r="C36" s="3" t="s">
        <v>2</v>
      </c>
      <c r="D36" s="11"/>
      <c r="E36" s="11"/>
    </row>
    <row r="37" spans="3:5" ht="14.5" thickBot="1" x14ac:dyDescent="0.35">
      <c r="D37" s="9"/>
      <c r="E37" s="9"/>
    </row>
    <row r="38" spans="3:5" ht="14.5" thickBot="1" x14ac:dyDescent="0.35">
      <c r="C38" s="35" t="s">
        <v>12</v>
      </c>
      <c r="D38" s="36" t="s">
        <v>35</v>
      </c>
    </row>
    <row r="39" spans="3:5" x14ac:dyDescent="0.3">
      <c r="C39" s="5" t="s">
        <v>4</v>
      </c>
      <c r="D39" s="19">
        <v>16000</v>
      </c>
    </row>
    <row r="40" spans="3:5" x14ac:dyDescent="0.3">
      <c r="C40" s="5" t="s">
        <v>5</v>
      </c>
      <c r="D40" s="4"/>
    </row>
    <row r="41" spans="3:5" x14ac:dyDescent="0.3">
      <c r="C41" s="5" t="s">
        <v>6</v>
      </c>
      <c r="D41" s="4"/>
    </row>
    <row r="42" spans="3:5" x14ac:dyDescent="0.3">
      <c r="C42" s="5" t="s">
        <v>7</v>
      </c>
      <c r="D42" s="4"/>
    </row>
    <row r="43" spans="3:5" ht="14.5" thickBot="1" x14ac:dyDescent="0.35">
      <c r="C43" s="5" t="s">
        <v>8</v>
      </c>
      <c r="D43" s="4"/>
    </row>
    <row r="44" spans="3:5" ht="14.5" thickBot="1" x14ac:dyDescent="0.35">
      <c r="C44" s="15" t="s">
        <v>11</v>
      </c>
      <c r="D44" s="16">
        <f>SUM(D38:D43)</f>
        <v>16000</v>
      </c>
    </row>
    <row r="45" spans="3:5" ht="14.5" thickBot="1" x14ac:dyDescent="0.35">
      <c r="D45" s="9"/>
    </row>
    <row r="46" spans="3:5" x14ac:dyDescent="0.3">
      <c r="C46" s="7" t="s">
        <v>12</v>
      </c>
      <c r="D46" s="22" t="s">
        <v>47</v>
      </c>
    </row>
    <row r="47" spans="3:5" x14ac:dyDescent="0.3">
      <c r="C47" s="5" t="s">
        <v>4</v>
      </c>
      <c r="D47" s="4">
        <v>52000</v>
      </c>
    </row>
    <row r="48" spans="3:5" x14ac:dyDescent="0.3">
      <c r="C48" s="5" t="s">
        <v>5</v>
      </c>
      <c r="D48" s="4"/>
    </row>
    <row r="49" spans="3:4" x14ac:dyDescent="0.3">
      <c r="C49" s="5" t="s">
        <v>6</v>
      </c>
      <c r="D49" s="4"/>
    </row>
    <row r="50" spans="3:4" x14ac:dyDescent="0.3">
      <c r="C50" s="5" t="s">
        <v>7</v>
      </c>
      <c r="D50" s="4"/>
    </row>
    <row r="51" spans="3:4" ht="14.5" thickBot="1" x14ac:dyDescent="0.35">
      <c r="C51" s="5" t="s">
        <v>8</v>
      </c>
      <c r="D51" s="4"/>
    </row>
    <row r="52" spans="3:4" ht="14.5" thickBot="1" x14ac:dyDescent="0.35">
      <c r="C52" s="15" t="s">
        <v>11</v>
      </c>
      <c r="D52" s="16">
        <f>SUM(D46:D51)</f>
        <v>52000</v>
      </c>
    </row>
    <row r="53" spans="3:4" ht="14.5" thickBot="1" x14ac:dyDescent="0.35">
      <c r="D53" s="9"/>
    </row>
    <row r="54" spans="3:4" x14ac:dyDescent="0.3">
      <c r="C54" s="7" t="s">
        <v>12</v>
      </c>
      <c r="D54" s="22" t="s">
        <v>48</v>
      </c>
    </row>
    <row r="55" spans="3:4" x14ac:dyDescent="0.3">
      <c r="C55" s="5" t="s">
        <v>4</v>
      </c>
      <c r="D55" s="4">
        <v>50000</v>
      </c>
    </row>
    <row r="56" spans="3:4" x14ac:dyDescent="0.3">
      <c r="C56" s="5" t="s">
        <v>5</v>
      </c>
      <c r="D56" s="4"/>
    </row>
    <row r="57" spans="3:4" ht="14.5" thickBot="1" x14ac:dyDescent="0.35">
      <c r="C57" s="5" t="s">
        <v>6</v>
      </c>
      <c r="D57" s="4"/>
    </row>
    <row r="58" spans="3:4" ht="14.5" thickBot="1" x14ac:dyDescent="0.35">
      <c r="C58" s="15" t="s">
        <v>11</v>
      </c>
      <c r="D58" s="16">
        <f>SUM(D54:D57)</f>
        <v>50000</v>
      </c>
    </row>
    <row r="59" spans="3:4" ht="14.5" thickBot="1" x14ac:dyDescent="0.35">
      <c r="C59" s="18"/>
      <c r="D59" s="9"/>
    </row>
    <row r="60" spans="3:4" x14ac:dyDescent="0.3">
      <c r="C60" s="7" t="s">
        <v>12</v>
      </c>
      <c r="D60" s="22" t="s">
        <v>49</v>
      </c>
    </row>
    <row r="61" spans="3:4" x14ac:dyDescent="0.3">
      <c r="C61" s="5" t="s">
        <v>4</v>
      </c>
      <c r="D61" s="4">
        <v>4000</v>
      </c>
    </row>
    <row r="62" spans="3:4" x14ac:dyDescent="0.3">
      <c r="C62" s="5" t="s">
        <v>5</v>
      </c>
      <c r="D62" s="4"/>
    </row>
    <row r="63" spans="3:4" x14ac:dyDescent="0.3">
      <c r="C63" s="5" t="s">
        <v>6</v>
      </c>
      <c r="D63" s="4"/>
    </row>
    <row r="64" spans="3:4" x14ac:dyDescent="0.3">
      <c r="C64" s="5" t="s">
        <v>7</v>
      </c>
      <c r="D64" s="4"/>
    </row>
    <row r="65" spans="3:4" ht="14.5" thickBot="1" x14ac:dyDescent="0.35">
      <c r="C65" s="5" t="s">
        <v>8</v>
      </c>
      <c r="D65" s="4"/>
    </row>
    <row r="66" spans="3:4" ht="14.5" thickBot="1" x14ac:dyDescent="0.35">
      <c r="C66" s="15" t="s">
        <v>11</v>
      </c>
      <c r="D66" s="16">
        <f>SUM(D60:D65)</f>
        <v>4000</v>
      </c>
    </row>
    <row r="67" spans="3:4" ht="14.5" thickBot="1" x14ac:dyDescent="0.35">
      <c r="D67" s="9"/>
    </row>
    <row r="68" spans="3:4" x14ac:dyDescent="0.3">
      <c r="C68" s="7" t="s">
        <v>12</v>
      </c>
      <c r="D68" s="22" t="s">
        <v>27</v>
      </c>
    </row>
    <row r="69" spans="3:4" x14ac:dyDescent="0.3">
      <c r="C69" s="5" t="s">
        <v>4</v>
      </c>
      <c r="D69" s="4"/>
    </row>
    <row r="70" spans="3:4" x14ac:dyDescent="0.3">
      <c r="C70" s="5" t="s">
        <v>5</v>
      </c>
      <c r="D70" s="4"/>
    </row>
    <row r="71" spans="3:4" x14ac:dyDescent="0.3">
      <c r="C71" s="5" t="s">
        <v>6</v>
      </c>
      <c r="D71" s="4"/>
    </row>
    <row r="72" spans="3:4" ht="14.5" thickBot="1" x14ac:dyDescent="0.35">
      <c r="C72" s="6" t="s">
        <v>7</v>
      </c>
      <c r="D72" s="23"/>
    </row>
    <row r="73" spans="3:4" ht="14.5" thickBot="1" x14ac:dyDescent="0.35">
      <c r="C73" s="15" t="s">
        <v>11</v>
      </c>
      <c r="D73" s="16">
        <f>SUM(D68:D72)</f>
        <v>0</v>
      </c>
    </row>
    <row r="74" spans="3:4" ht="14.5" thickBot="1" x14ac:dyDescent="0.35">
      <c r="C74" s="18"/>
      <c r="D74" s="9"/>
    </row>
    <row r="75" spans="3:4" x14ac:dyDescent="0.3">
      <c r="C75" s="7" t="s">
        <v>12</v>
      </c>
      <c r="D75" s="22" t="s">
        <v>32</v>
      </c>
    </row>
    <row r="76" spans="3:4" x14ac:dyDescent="0.3">
      <c r="C76" s="5" t="s">
        <v>4</v>
      </c>
      <c r="D76" s="4"/>
    </row>
    <row r="77" spans="3:4" x14ac:dyDescent="0.3">
      <c r="C77" s="5" t="s">
        <v>5</v>
      </c>
      <c r="D77" s="4"/>
    </row>
    <row r="78" spans="3:4" x14ac:dyDescent="0.3">
      <c r="C78" s="5" t="s">
        <v>6</v>
      </c>
      <c r="D78" s="4"/>
    </row>
    <row r="79" spans="3:4" ht="14.5" thickBot="1" x14ac:dyDescent="0.35">
      <c r="C79" s="6" t="s">
        <v>7</v>
      </c>
      <c r="D79" s="23"/>
    </row>
    <row r="80" spans="3:4" ht="14.5" thickBot="1" x14ac:dyDescent="0.35">
      <c r="C80" s="15" t="s">
        <v>11</v>
      </c>
      <c r="D80" s="16">
        <f>SUM(D75:D79)</f>
        <v>0</v>
      </c>
    </row>
    <row r="81" spans="3:5" ht="14.5" thickBot="1" x14ac:dyDescent="0.35">
      <c r="D81" s="9"/>
      <c r="E81" s="9"/>
    </row>
    <row r="82" spans="3:5" x14ac:dyDescent="0.3">
      <c r="C82" s="7" t="s">
        <v>12</v>
      </c>
      <c r="D82" s="22" t="s">
        <v>28</v>
      </c>
    </row>
    <row r="83" spans="3:5" x14ac:dyDescent="0.3">
      <c r="C83" s="5" t="s">
        <v>4</v>
      </c>
      <c r="D83" s="4">
        <v>180</v>
      </c>
      <c r="E83" t="s">
        <v>50</v>
      </c>
    </row>
    <row r="84" spans="3:5" x14ac:dyDescent="0.3">
      <c r="C84" s="5" t="s">
        <v>5</v>
      </c>
      <c r="D84" s="12"/>
    </row>
    <row r="85" spans="3:5" x14ac:dyDescent="0.3">
      <c r="C85" s="5" t="s">
        <v>6</v>
      </c>
      <c r="D85" s="12"/>
    </row>
    <row r="86" spans="3:5" x14ac:dyDescent="0.3">
      <c r="C86" s="5" t="s">
        <v>7</v>
      </c>
      <c r="D86" s="13"/>
    </row>
    <row r="87" spans="3:5" x14ac:dyDescent="0.3">
      <c r="C87" s="5" t="s">
        <v>8</v>
      </c>
      <c r="D87" s="13"/>
    </row>
    <row r="88" spans="3:5" x14ac:dyDescent="0.3">
      <c r="C88" s="5" t="s">
        <v>9</v>
      </c>
      <c r="D88" s="13"/>
    </row>
    <row r="89" spans="3:5" ht="14.5" thickBot="1" x14ac:dyDescent="0.35">
      <c r="C89" s="5" t="s">
        <v>10</v>
      </c>
      <c r="D89" s="13"/>
    </row>
    <row r="90" spans="3:5" ht="14.5" thickBot="1" x14ac:dyDescent="0.35">
      <c r="C90" s="15" t="s">
        <v>11</v>
      </c>
      <c r="D90" s="16">
        <f>SUM(D82:D89)</f>
        <v>180</v>
      </c>
    </row>
    <row r="91" spans="3:5" ht="14.5" thickBot="1" x14ac:dyDescent="0.35">
      <c r="C91" s="18"/>
      <c r="D91" s="9"/>
    </row>
    <row r="92" spans="3:5" x14ac:dyDescent="0.3">
      <c r="C92" s="42" t="s">
        <v>24</v>
      </c>
      <c r="D92" s="20">
        <f>D90+D73+D66+D58+D52+D44+D80</f>
        <v>122180</v>
      </c>
    </row>
    <row r="93" spans="3:5" ht="14.5" thickBot="1" x14ac:dyDescent="0.35">
      <c r="C93" s="43"/>
      <c r="D93" s="24"/>
    </row>
    <row r="94" spans="3:5" ht="14.5" thickBot="1" x14ac:dyDescent="0.35"/>
    <row r="95" spans="3:5" ht="14.5" thickBot="1" x14ac:dyDescent="0.35">
      <c r="C95" s="46" t="s">
        <v>29</v>
      </c>
      <c r="D95" s="47">
        <f>D33-D92</f>
        <v>206650</v>
      </c>
    </row>
    <row r="96" spans="3:5" ht="14.5" thickBot="1" x14ac:dyDescent="0.35">
      <c r="C96" s="53">
        <v>0.5</v>
      </c>
      <c r="D96" s="48">
        <f>D95*0.5</f>
        <v>103325</v>
      </c>
    </row>
    <row r="97" spans="3:4" ht="14.5" thickBot="1" x14ac:dyDescent="0.35">
      <c r="C97" s="54"/>
      <c r="D97" s="55"/>
    </row>
  </sheetData>
  <mergeCells count="2">
    <mergeCell ref="C4:E4"/>
    <mergeCell ref="D6:E7"/>
  </mergeCells>
  <pageMargins left="0.7" right="0.7" top="0.75" bottom="0.75" header="0.3" footer="0.3"/>
  <pageSetup paperSize="9" scale="5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EFAC-0A9D-40B7-96CE-EB1CE8149FD5}">
  <sheetPr>
    <pageSetUpPr fitToPage="1"/>
  </sheetPr>
  <dimension ref="C2:F95"/>
  <sheetViews>
    <sheetView rightToLeft="1" topLeftCell="A29" workbookViewId="0">
      <selection activeCell="D37" sqref="D37"/>
    </sheetView>
  </sheetViews>
  <sheetFormatPr defaultRowHeight="14" x14ac:dyDescent="0.3"/>
  <cols>
    <col min="3" max="3" width="22.83203125" bestFit="1" customWidth="1"/>
    <col min="4" max="4" width="16.08203125" bestFit="1" customWidth="1"/>
    <col min="5" max="5" width="22" bestFit="1" customWidth="1"/>
  </cols>
  <sheetData>
    <row r="2" spans="3:6" x14ac:dyDescent="0.3">
      <c r="C2" t="s">
        <v>0</v>
      </c>
    </row>
    <row r="3" spans="3:6" ht="23" x14ac:dyDescent="0.3">
      <c r="C3" s="68" t="s">
        <v>14</v>
      </c>
      <c r="D3" s="68"/>
      <c r="E3" s="68"/>
      <c r="F3" s="8"/>
    </row>
    <row r="5" spans="3:6" ht="20" x14ac:dyDescent="0.4">
      <c r="C5" s="14" t="s">
        <v>15</v>
      </c>
      <c r="D5" s="69" t="s">
        <v>44</v>
      </c>
      <c r="E5" s="69"/>
    </row>
    <row r="6" spans="3:6" x14ac:dyDescent="0.3">
      <c r="D6" s="69"/>
      <c r="E6" s="69"/>
    </row>
    <row r="7" spans="3:6" ht="23" x14ac:dyDescent="0.5">
      <c r="C7" s="3" t="s">
        <v>1</v>
      </c>
      <c r="D7" s="1"/>
    </row>
    <row r="8" spans="3:6" ht="14.5" thickBot="1" x14ac:dyDescent="0.35"/>
    <row r="9" spans="3:6" ht="14.5" thickBot="1" x14ac:dyDescent="0.35">
      <c r="C9" s="35" t="s">
        <v>33</v>
      </c>
      <c r="D9" s="56" t="s">
        <v>43</v>
      </c>
      <c r="E9" s="57" t="s">
        <v>31</v>
      </c>
    </row>
    <row r="10" spans="3:6" x14ac:dyDescent="0.3">
      <c r="C10" s="32" t="s">
        <v>3</v>
      </c>
      <c r="D10" s="33"/>
      <c r="E10" s="34"/>
    </row>
    <row r="11" spans="3:6" x14ac:dyDescent="0.3">
      <c r="C11" s="5" t="s">
        <v>4</v>
      </c>
      <c r="D11" s="9">
        <v>93810</v>
      </c>
      <c r="E11" s="52"/>
    </row>
    <row r="12" spans="3:6" x14ac:dyDescent="0.3">
      <c r="C12" s="5" t="s">
        <v>5</v>
      </c>
      <c r="D12" s="4">
        <v>93810</v>
      </c>
      <c r="E12" s="52"/>
      <c r="F12" s="9"/>
    </row>
    <row r="13" spans="3:6" x14ac:dyDescent="0.3">
      <c r="C13" s="5" t="s">
        <v>6</v>
      </c>
      <c r="D13" s="4"/>
      <c r="E13" s="52"/>
    </row>
    <row r="14" spans="3:6" x14ac:dyDescent="0.3">
      <c r="C14" s="5" t="s">
        <v>7</v>
      </c>
      <c r="D14" s="4"/>
      <c r="E14" s="52"/>
    </row>
    <row r="15" spans="3:6" x14ac:dyDescent="0.3">
      <c r="C15" s="5" t="s">
        <v>8</v>
      </c>
      <c r="D15" s="4"/>
      <c r="E15" s="52"/>
    </row>
    <row r="16" spans="3:6" ht="14.5" thickBot="1" x14ac:dyDescent="0.35">
      <c r="C16" s="6" t="s">
        <v>17</v>
      </c>
      <c r="D16" s="31"/>
      <c r="E16" s="52"/>
    </row>
    <row r="17" spans="3:6" ht="14.5" thickBot="1" x14ac:dyDescent="0.35">
      <c r="C17" s="37" t="s">
        <v>23</v>
      </c>
      <c r="D17" s="41">
        <f>D12+D11</f>
        <v>187620</v>
      </c>
      <c r="E17" s="38"/>
    </row>
    <row r="18" spans="3:6" x14ac:dyDescent="0.3">
      <c r="D18" s="9"/>
      <c r="E18" s="9"/>
    </row>
    <row r="19" spans="3:6" ht="20" x14ac:dyDescent="0.4">
      <c r="C19" s="2" t="s">
        <v>16</v>
      </c>
      <c r="D19" s="9"/>
      <c r="E19" s="9"/>
    </row>
    <row r="20" spans="3:6" ht="14.5" thickBot="1" x14ac:dyDescent="0.35">
      <c r="D20" s="9"/>
      <c r="E20" s="9"/>
    </row>
    <row r="21" spans="3:6" ht="14.5" thickBot="1" x14ac:dyDescent="0.35">
      <c r="C21" s="28" t="s">
        <v>18</v>
      </c>
      <c r="D21" s="29" t="s">
        <v>19</v>
      </c>
      <c r="E21" s="29" t="s">
        <v>36</v>
      </c>
      <c r="F21" s="30" t="s">
        <v>19</v>
      </c>
    </row>
    <row r="22" spans="3:6" x14ac:dyDescent="0.3">
      <c r="C22" s="26"/>
      <c r="D22" s="19"/>
      <c r="E22" s="19"/>
      <c r="F22" s="27">
        <f>E22*D22</f>
        <v>0</v>
      </c>
    </row>
    <row r="23" spans="3:6" x14ac:dyDescent="0.3">
      <c r="C23" s="26"/>
      <c r="D23" s="19"/>
      <c r="E23" s="19"/>
      <c r="F23" s="27">
        <f>E23*D23</f>
        <v>0</v>
      </c>
    </row>
    <row r="24" spans="3:6" x14ac:dyDescent="0.3">
      <c r="C24" s="26"/>
      <c r="D24" s="19"/>
      <c r="E24" s="19"/>
      <c r="F24" s="27"/>
    </row>
    <row r="25" spans="3:6" x14ac:dyDescent="0.3">
      <c r="C25" s="26"/>
      <c r="D25" s="19"/>
      <c r="E25" s="19"/>
      <c r="F25" s="27"/>
    </row>
    <row r="26" spans="3:6" x14ac:dyDescent="0.3">
      <c r="C26" s="49"/>
      <c r="D26" s="19"/>
      <c r="E26" s="4"/>
      <c r="F26" s="21"/>
    </row>
    <row r="27" spans="3:6" x14ac:dyDescent="0.3">
      <c r="C27" s="49"/>
      <c r="D27" s="19"/>
      <c r="E27" s="4"/>
      <c r="F27" s="21"/>
    </row>
    <row r="28" spans="3:6" ht="14.5" thickBot="1" x14ac:dyDescent="0.35">
      <c r="C28" s="50"/>
      <c r="D28" s="10"/>
      <c r="E28" s="10"/>
      <c r="F28" s="51"/>
    </row>
    <row r="29" spans="3:6" ht="14.5" thickBot="1" x14ac:dyDescent="0.35">
      <c r="C29" s="25" t="s">
        <v>20</v>
      </c>
      <c r="D29" s="16"/>
      <c r="E29" s="16"/>
      <c r="F29" s="17">
        <f>SUM(F22:F28)</f>
        <v>0</v>
      </c>
    </row>
    <row r="30" spans="3:6" x14ac:dyDescent="0.3">
      <c r="D30" s="9"/>
      <c r="E30" s="9"/>
    </row>
    <row r="31" spans="3:6" x14ac:dyDescent="0.3">
      <c r="C31" s="44" t="s">
        <v>25</v>
      </c>
      <c r="D31" s="45">
        <f>D17</f>
        <v>187620</v>
      </c>
      <c r="E31" s="9"/>
    </row>
    <row r="32" spans="3:6" x14ac:dyDescent="0.3">
      <c r="C32" s="44"/>
      <c r="D32" s="44"/>
      <c r="E32" s="9"/>
    </row>
    <row r="33" spans="3:5" x14ac:dyDescent="0.3">
      <c r="D33" s="9"/>
      <c r="E33" s="9"/>
    </row>
    <row r="34" spans="3:5" ht="23" x14ac:dyDescent="0.5">
      <c r="C34" s="3" t="s">
        <v>2</v>
      </c>
      <c r="D34" s="11"/>
      <c r="E34" s="11"/>
    </row>
    <row r="35" spans="3:5" ht="14.5" thickBot="1" x14ac:dyDescent="0.35">
      <c r="D35" s="9"/>
      <c r="E35" s="9"/>
    </row>
    <row r="36" spans="3:5" ht="14.5" thickBot="1" x14ac:dyDescent="0.35">
      <c r="C36" s="35" t="s">
        <v>12</v>
      </c>
      <c r="D36" s="36" t="s">
        <v>35</v>
      </c>
    </row>
    <row r="37" spans="3:5" x14ac:dyDescent="0.3">
      <c r="C37" s="5" t="s">
        <v>4</v>
      </c>
      <c r="D37" s="19">
        <v>30000</v>
      </c>
    </row>
    <row r="38" spans="3:5" x14ac:dyDescent="0.3">
      <c r="C38" s="5" t="s">
        <v>5</v>
      </c>
      <c r="D38" s="4">
        <v>33000</v>
      </c>
    </row>
    <row r="39" spans="3:5" x14ac:dyDescent="0.3">
      <c r="C39" s="5" t="s">
        <v>6</v>
      </c>
      <c r="D39" s="4"/>
    </row>
    <row r="40" spans="3:5" x14ac:dyDescent="0.3">
      <c r="C40" s="5" t="s">
        <v>7</v>
      </c>
      <c r="D40" s="4"/>
    </row>
    <row r="41" spans="3:5" ht="14.5" thickBot="1" x14ac:dyDescent="0.35">
      <c r="C41" s="5" t="s">
        <v>8</v>
      </c>
      <c r="D41" s="4"/>
    </row>
    <row r="42" spans="3:5" ht="14.5" thickBot="1" x14ac:dyDescent="0.35">
      <c r="C42" s="15" t="s">
        <v>11</v>
      </c>
      <c r="D42" s="16">
        <f>SUM(D36:D41)</f>
        <v>63000</v>
      </c>
    </row>
    <row r="43" spans="3:5" ht="14.5" thickBot="1" x14ac:dyDescent="0.35">
      <c r="D43" s="9"/>
    </row>
    <row r="44" spans="3:5" x14ac:dyDescent="0.3">
      <c r="C44" s="7" t="s">
        <v>12</v>
      </c>
      <c r="D44" s="22" t="s">
        <v>45</v>
      </c>
    </row>
    <row r="45" spans="3:5" x14ac:dyDescent="0.3">
      <c r="C45" s="5" t="s">
        <v>4</v>
      </c>
      <c r="D45" s="4">
        <v>125212</v>
      </c>
    </row>
    <row r="46" spans="3:5" x14ac:dyDescent="0.3">
      <c r="C46" s="5" t="s">
        <v>5</v>
      </c>
      <c r="D46" s="4"/>
    </row>
    <row r="47" spans="3:5" x14ac:dyDescent="0.3">
      <c r="C47" s="5" t="s">
        <v>6</v>
      </c>
      <c r="D47" s="4"/>
    </row>
    <row r="48" spans="3:5" x14ac:dyDescent="0.3">
      <c r="C48" s="5" t="s">
        <v>7</v>
      </c>
      <c r="D48" s="4"/>
    </row>
    <row r="49" spans="3:4" ht="14.5" thickBot="1" x14ac:dyDescent="0.35">
      <c r="C49" s="5" t="s">
        <v>8</v>
      </c>
      <c r="D49" s="4"/>
    </row>
    <row r="50" spans="3:4" ht="14.5" thickBot="1" x14ac:dyDescent="0.35">
      <c r="C50" s="15" t="s">
        <v>11</v>
      </c>
      <c r="D50" s="16">
        <f>SUM(D44:D49)</f>
        <v>125212</v>
      </c>
    </row>
    <row r="51" spans="3:4" ht="14.5" thickBot="1" x14ac:dyDescent="0.35">
      <c r="D51" s="9"/>
    </row>
    <row r="52" spans="3:4" x14ac:dyDescent="0.3">
      <c r="C52" s="7" t="s">
        <v>12</v>
      </c>
      <c r="D52" s="22" t="s">
        <v>13</v>
      </c>
    </row>
    <row r="53" spans="3:4" x14ac:dyDescent="0.3">
      <c r="C53" s="5" t="s">
        <v>4</v>
      </c>
      <c r="D53" s="4"/>
    </row>
    <row r="54" spans="3:4" x14ac:dyDescent="0.3">
      <c r="C54" s="5" t="s">
        <v>5</v>
      </c>
      <c r="D54" s="4"/>
    </row>
    <row r="55" spans="3:4" ht="14.5" thickBot="1" x14ac:dyDescent="0.35">
      <c r="C55" s="5" t="s">
        <v>6</v>
      </c>
      <c r="D55" s="4"/>
    </row>
    <row r="56" spans="3:4" ht="14.5" thickBot="1" x14ac:dyDescent="0.35">
      <c r="C56" s="15" t="s">
        <v>11</v>
      </c>
      <c r="D56" s="16">
        <f>SUM(D52:D55)</f>
        <v>0</v>
      </c>
    </row>
    <row r="57" spans="3:4" ht="14.5" thickBot="1" x14ac:dyDescent="0.35">
      <c r="C57" s="18"/>
      <c r="D57" s="9"/>
    </row>
    <row r="58" spans="3:4" x14ac:dyDescent="0.3">
      <c r="C58" s="7" t="s">
        <v>12</v>
      </c>
      <c r="D58" s="22" t="s">
        <v>26</v>
      </c>
    </row>
    <row r="59" spans="3:4" x14ac:dyDescent="0.3">
      <c r="C59" s="5" t="s">
        <v>4</v>
      </c>
      <c r="D59" s="4">
        <v>25000</v>
      </c>
    </row>
    <row r="60" spans="3:4" x14ac:dyDescent="0.3">
      <c r="C60" s="5" t="s">
        <v>5</v>
      </c>
      <c r="D60" s="4"/>
    </row>
    <row r="61" spans="3:4" x14ac:dyDescent="0.3">
      <c r="C61" s="5" t="s">
        <v>6</v>
      </c>
      <c r="D61" s="4"/>
    </row>
    <row r="62" spans="3:4" x14ac:dyDescent="0.3">
      <c r="C62" s="5" t="s">
        <v>7</v>
      </c>
      <c r="D62" s="4"/>
    </row>
    <row r="63" spans="3:4" ht="14.5" thickBot="1" x14ac:dyDescent="0.35">
      <c r="C63" s="5" t="s">
        <v>8</v>
      </c>
      <c r="D63" s="4"/>
    </row>
    <row r="64" spans="3:4" ht="14.5" thickBot="1" x14ac:dyDescent="0.35">
      <c r="C64" s="15" t="s">
        <v>11</v>
      </c>
      <c r="D64" s="16">
        <f>SUM(D58:D63)</f>
        <v>25000</v>
      </c>
    </row>
    <row r="65" spans="3:5" ht="14.5" thickBot="1" x14ac:dyDescent="0.35">
      <c r="D65" s="9"/>
    </row>
    <row r="66" spans="3:5" x14ac:dyDescent="0.3">
      <c r="C66" s="7" t="s">
        <v>12</v>
      </c>
      <c r="D66" s="22" t="s">
        <v>27</v>
      </c>
    </row>
    <row r="67" spans="3:5" x14ac:dyDescent="0.3">
      <c r="C67" s="5" t="s">
        <v>4</v>
      </c>
      <c r="D67" s="4">
        <v>13950</v>
      </c>
    </row>
    <row r="68" spans="3:5" x14ac:dyDescent="0.3">
      <c r="C68" s="5" t="s">
        <v>5</v>
      </c>
      <c r="D68" s="4">
        <v>2232</v>
      </c>
    </row>
    <row r="69" spans="3:5" x14ac:dyDescent="0.3">
      <c r="C69" s="5" t="s">
        <v>6</v>
      </c>
      <c r="D69" s="4"/>
    </row>
    <row r="70" spans="3:5" ht="14.5" thickBot="1" x14ac:dyDescent="0.35">
      <c r="C70" s="6" t="s">
        <v>7</v>
      </c>
      <c r="D70" s="23"/>
    </row>
    <row r="71" spans="3:5" ht="14.5" thickBot="1" x14ac:dyDescent="0.35">
      <c r="C71" s="15" t="s">
        <v>11</v>
      </c>
      <c r="D71" s="16">
        <f>SUM(D66:D70)</f>
        <v>16182</v>
      </c>
    </row>
    <row r="72" spans="3:5" ht="14.5" thickBot="1" x14ac:dyDescent="0.35">
      <c r="C72" s="18"/>
      <c r="D72" s="9"/>
    </row>
    <row r="73" spans="3:5" x14ac:dyDescent="0.3">
      <c r="C73" s="7" t="s">
        <v>12</v>
      </c>
      <c r="D73" s="22" t="s">
        <v>32</v>
      </c>
    </row>
    <row r="74" spans="3:5" x14ac:dyDescent="0.3">
      <c r="C74" s="5" t="s">
        <v>4</v>
      </c>
      <c r="D74" s="4"/>
      <c r="E74" s="9"/>
    </row>
    <row r="75" spans="3:5" x14ac:dyDescent="0.3">
      <c r="C75" s="5" t="s">
        <v>5</v>
      </c>
      <c r="D75" s="4"/>
    </row>
    <row r="76" spans="3:5" x14ac:dyDescent="0.3">
      <c r="C76" s="5" t="s">
        <v>6</v>
      </c>
      <c r="D76" s="4"/>
    </row>
    <row r="77" spans="3:5" ht="14.5" thickBot="1" x14ac:dyDescent="0.35">
      <c r="C77" s="6" t="s">
        <v>7</v>
      </c>
      <c r="D77" s="23"/>
    </row>
    <row r="78" spans="3:5" ht="14.5" thickBot="1" x14ac:dyDescent="0.35">
      <c r="C78" s="15" t="s">
        <v>11</v>
      </c>
      <c r="D78" s="16">
        <f>SUM(D73:D77)</f>
        <v>0</v>
      </c>
    </row>
    <row r="79" spans="3:5" ht="14.5" thickBot="1" x14ac:dyDescent="0.35">
      <c r="D79" s="9"/>
      <c r="E79" s="9"/>
    </row>
    <row r="80" spans="3:5" x14ac:dyDescent="0.3">
      <c r="C80" s="7" t="s">
        <v>12</v>
      </c>
      <c r="D80" s="22" t="s">
        <v>34</v>
      </c>
    </row>
    <row r="81" spans="3:4" x14ac:dyDescent="0.3">
      <c r="C81" s="5" t="s">
        <v>4</v>
      </c>
      <c r="D81" s="4"/>
    </row>
    <row r="82" spans="3:4" x14ac:dyDescent="0.3">
      <c r="C82" s="5" t="s">
        <v>5</v>
      </c>
      <c r="D82" s="12"/>
    </row>
    <row r="83" spans="3:4" x14ac:dyDescent="0.3">
      <c r="C83" s="5" t="s">
        <v>6</v>
      </c>
      <c r="D83" s="12"/>
    </row>
    <row r="84" spans="3:4" x14ac:dyDescent="0.3">
      <c r="C84" s="5" t="s">
        <v>7</v>
      </c>
      <c r="D84" s="13"/>
    </row>
    <row r="85" spans="3:4" x14ac:dyDescent="0.3">
      <c r="C85" s="5" t="s">
        <v>8</v>
      </c>
      <c r="D85" s="13"/>
    </row>
    <row r="86" spans="3:4" x14ac:dyDescent="0.3">
      <c r="C86" s="5" t="s">
        <v>9</v>
      </c>
      <c r="D86" s="13"/>
    </row>
    <row r="87" spans="3:4" ht="14.5" thickBot="1" x14ac:dyDescent="0.35">
      <c r="C87" s="5" t="s">
        <v>10</v>
      </c>
      <c r="D87" s="13"/>
    </row>
    <row r="88" spans="3:4" ht="14.5" thickBot="1" x14ac:dyDescent="0.35">
      <c r="C88" s="15" t="s">
        <v>11</v>
      </c>
      <c r="D88" s="16">
        <f>SUM(D80:D87)</f>
        <v>0</v>
      </c>
    </row>
    <row r="89" spans="3:4" ht="14.5" thickBot="1" x14ac:dyDescent="0.35">
      <c r="C89" s="18"/>
      <c r="D89" s="9"/>
    </row>
    <row r="90" spans="3:4" x14ac:dyDescent="0.3">
      <c r="C90" s="42" t="s">
        <v>24</v>
      </c>
      <c r="D90" s="20">
        <f>D88+D71+D64+D56+D50+D42+D78</f>
        <v>229394</v>
      </c>
    </row>
    <row r="91" spans="3:4" ht="14.5" thickBot="1" x14ac:dyDescent="0.35">
      <c r="C91" s="43"/>
      <c r="D91" s="24"/>
    </row>
    <row r="92" spans="3:4" ht="14.5" thickBot="1" x14ac:dyDescent="0.35"/>
    <row r="93" spans="3:4" ht="14.5" thickBot="1" x14ac:dyDescent="0.35">
      <c r="C93" s="46" t="s">
        <v>29</v>
      </c>
      <c r="D93" s="47">
        <f>D31-D90</f>
        <v>-41774</v>
      </c>
    </row>
    <row r="94" spans="3:4" ht="14.5" thickBot="1" x14ac:dyDescent="0.35">
      <c r="C94" s="53">
        <v>0.5</v>
      </c>
      <c r="D94" s="48">
        <f>D93*0.5</f>
        <v>-20887</v>
      </c>
    </row>
    <row r="95" spans="3:4" ht="14.5" thickBot="1" x14ac:dyDescent="0.35">
      <c r="C95" s="54"/>
      <c r="D95" s="55"/>
    </row>
  </sheetData>
  <mergeCells count="2">
    <mergeCell ref="C3:E3"/>
    <mergeCell ref="D5:E6"/>
  </mergeCells>
  <pageMargins left="0.7" right="0.7" top="0.75" bottom="0.75" header="0.3" footer="0.3"/>
  <pageSetup paperSize="9" scale="91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5DFD-AC10-4CC2-B120-64E2C10AEA08}">
  <dimension ref="C3:F107"/>
  <sheetViews>
    <sheetView rightToLeft="1" topLeftCell="B87" zoomScale="115" zoomScaleNormal="115" workbookViewId="0">
      <selection activeCell="D52" sqref="D52"/>
    </sheetView>
  </sheetViews>
  <sheetFormatPr defaultRowHeight="14" x14ac:dyDescent="0.3"/>
  <cols>
    <col min="3" max="3" width="21.58203125" bestFit="1" customWidth="1"/>
    <col min="4" max="4" width="16.08203125" bestFit="1" customWidth="1"/>
    <col min="5" max="5" width="22" bestFit="1" customWidth="1"/>
    <col min="6" max="6" width="17.75" customWidth="1"/>
  </cols>
  <sheetData>
    <row r="3" spans="3:6" x14ac:dyDescent="0.3">
      <c r="C3" t="s">
        <v>0</v>
      </c>
    </row>
    <row r="4" spans="3:6" ht="23" x14ac:dyDescent="0.3">
      <c r="C4" s="68" t="s">
        <v>14</v>
      </c>
      <c r="D4" s="68"/>
      <c r="E4" s="68"/>
      <c r="F4" s="8"/>
    </row>
    <row r="6" spans="3:6" ht="20" x14ac:dyDescent="0.4">
      <c r="C6" s="14" t="s">
        <v>15</v>
      </c>
      <c r="D6" s="69" t="s">
        <v>38</v>
      </c>
      <c r="E6" s="69"/>
    </row>
    <row r="7" spans="3:6" x14ac:dyDescent="0.3">
      <c r="D7" s="69"/>
      <c r="E7" s="69"/>
    </row>
    <row r="8" spans="3:6" ht="23" x14ac:dyDescent="0.5">
      <c r="C8" s="3" t="s">
        <v>1</v>
      </c>
      <c r="D8" s="1"/>
    </row>
    <row r="9" spans="3:6" ht="14.5" thickBot="1" x14ac:dyDescent="0.35"/>
    <row r="10" spans="3:6" ht="14.5" thickBot="1" x14ac:dyDescent="0.35">
      <c r="C10" s="15"/>
      <c r="D10" s="29" t="s">
        <v>65</v>
      </c>
      <c r="E10" s="30" t="s">
        <v>31</v>
      </c>
    </row>
    <row r="11" spans="3:6" x14ac:dyDescent="0.3">
      <c r="C11" s="32" t="s">
        <v>3</v>
      </c>
      <c r="D11" s="33"/>
      <c r="E11" s="34"/>
    </row>
    <row r="12" spans="3:6" x14ac:dyDescent="0.3">
      <c r="C12" s="5" t="s">
        <v>4</v>
      </c>
      <c r="D12" s="4">
        <v>15000</v>
      </c>
      <c r="E12" s="52"/>
    </row>
    <row r="13" spans="3:6" x14ac:dyDescent="0.3">
      <c r="C13" s="5" t="s">
        <v>5</v>
      </c>
      <c r="D13" s="4">
        <v>250000</v>
      </c>
      <c r="E13" s="52"/>
      <c r="F13" s="9"/>
    </row>
    <row r="14" spans="3:6" x14ac:dyDescent="0.3">
      <c r="C14" s="5" t="s">
        <v>6</v>
      </c>
      <c r="D14" s="4">
        <v>200000</v>
      </c>
      <c r="E14" s="52"/>
    </row>
    <row r="15" spans="3:6" x14ac:dyDescent="0.3">
      <c r="C15" s="5" t="s">
        <v>7</v>
      </c>
      <c r="D15" s="4">
        <v>470000</v>
      </c>
      <c r="E15" s="52"/>
    </row>
    <row r="16" spans="3:6" x14ac:dyDescent="0.3">
      <c r="C16" s="5" t="s">
        <v>8</v>
      </c>
      <c r="D16" s="4">
        <v>300000</v>
      </c>
      <c r="E16" s="52"/>
    </row>
    <row r="17" spans="3:6" x14ac:dyDescent="0.3">
      <c r="C17" s="5" t="s">
        <v>9</v>
      </c>
      <c r="D17" s="4">
        <v>200000</v>
      </c>
      <c r="E17" s="52"/>
    </row>
    <row r="18" spans="3:6" x14ac:dyDescent="0.3">
      <c r="C18" s="5" t="s">
        <v>10</v>
      </c>
      <c r="D18" s="4">
        <v>265000</v>
      </c>
      <c r="E18" s="52" t="s">
        <v>102</v>
      </c>
    </row>
    <row r="19" spans="3:6" x14ac:dyDescent="0.3">
      <c r="C19" s="5" t="s">
        <v>66</v>
      </c>
      <c r="D19" s="4"/>
      <c r="E19" s="52"/>
    </row>
    <row r="20" spans="3:6" x14ac:dyDescent="0.3">
      <c r="C20" s="5" t="s">
        <v>67</v>
      </c>
      <c r="D20" s="4"/>
      <c r="E20" s="52"/>
    </row>
    <row r="21" spans="3:6" ht="14.5" thickBot="1" x14ac:dyDescent="0.35">
      <c r="C21" s="39" t="s">
        <v>11</v>
      </c>
      <c r="D21" s="60">
        <f>SUM(D11:D20)</f>
        <v>1700000</v>
      </c>
      <c r="E21" s="40">
        <v>1958000</v>
      </c>
    </row>
    <row r="22" spans="3:6" ht="14.5" thickBot="1" x14ac:dyDescent="0.35">
      <c r="C22" s="37" t="s">
        <v>23</v>
      </c>
      <c r="D22" s="41">
        <f>E21-D21</f>
        <v>258000</v>
      </c>
      <c r="E22" s="38"/>
    </row>
    <row r="23" spans="3:6" x14ac:dyDescent="0.3">
      <c r="D23" s="9"/>
      <c r="E23" s="9"/>
    </row>
    <row r="24" spans="3:6" ht="20" x14ac:dyDescent="0.4">
      <c r="C24" s="2" t="s">
        <v>16</v>
      </c>
      <c r="D24" s="9"/>
      <c r="E24" s="9"/>
    </row>
    <row r="25" spans="3:6" ht="14.5" thickBot="1" x14ac:dyDescent="0.35">
      <c r="D25" s="9"/>
      <c r="E25" s="9"/>
    </row>
    <row r="26" spans="3:6" ht="14.5" thickBot="1" x14ac:dyDescent="0.35">
      <c r="C26" s="28" t="s">
        <v>18</v>
      </c>
      <c r="D26" s="29" t="s">
        <v>21</v>
      </c>
      <c r="E26" s="29" t="s">
        <v>22</v>
      </c>
      <c r="F26" s="30" t="s">
        <v>19</v>
      </c>
    </row>
    <row r="27" spans="3:6" x14ac:dyDescent="0.3">
      <c r="C27" s="26"/>
      <c r="D27" s="19"/>
      <c r="E27" s="19"/>
      <c r="F27" s="27"/>
    </row>
    <row r="28" spans="3:6" x14ac:dyDescent="0.3">
      <c r="C28" s="26"/>
      <c r="D28" s="19"/>
      <c r="E28" s="19"/>
      <c r="F28" s="27"/>
    </row>
    <row r="29" spans="3:6" x14ac:dyDescent="0.3">
      <c r="C29" s="26"/>
      <c r="D29" s="19"/>
      <c r="E29" s="19"/>
      <c r="F29" s="27"/>
    </row>
    <row r="30" spans="3:6" x14ac:dyDescent="0.3">
      <c r="C30" s="26"/>
      <c r="D30" s="19"/>
      <c r="E30" s="19"/>
      <c r="F30" s="27"/>
    </row>
    <row r="31" spans="3:6" x14ac:dyDescent="0.3">
      <c r="C31" s="49"/>
      <c r="D31" s="19"/>
      <c r="E31" s="4"/>
      <c r="F31" s="21"/>
    </row>
    <row r="32" spans="3:6" x14ac:dyDescent="0.3">
      <c r="C32" s="49"/>
      <c r="D32" s="19"/>
      <c r="E32" s="4"/>
      <c r="F32" s="21"/>
    </row>
    <row r="33" spans="3:6" ht="14.5" thickBot="1" x14ac:dyDescent="0.35">
      <c r="C33" s="50"/>
      <c r="D33" s="10"/>
      <c r="E33" s="10"/>
      <c r="F33" s="51"/>
    </row>
    <row r="34" spans="3:6" ht="14.5" thickBot="1" x14ac:dyDescent="0.35">
      <c r="C34" s="25" t="s">
        <v>20</v>
      </c>
      <c r="D34" s="16"/>
      <c r="E34" s="16"/>
      <c r="F34" s="17">
        <v>1750000</v>
      </c>
    </row>
    <row r="35" spans="3:6" x14ac:dyDescent="0.3">
      <c r="D35" s="9"/>
      <c r="E35" s="9"/>
    </row>
    <row r="36" spans="3:6" x14ac:dyDescent="0.3">
      <c r="C36" s="44" t="s">
        <v>25</v>
      </c>
      <c r="D36" s="45"/>
      <c r="E36" s="9"/>
    </row>
    <row r="37" spans="3:6" x14ac:dyDescent="0.3">
      <c r="C37" s="44"/>
      <c r="D37" s="44"/>
      <c r="E37" s="9"/>
    </row>
    <row r="38" spans="3:6" x14ac:dyDescent="0.3">
      <c r="D38" s="9"/>
      <c r="E38" s="9"/>
    </row>
    <row r="39" spans="3:6" ht="23" x14ac:dyDescent="0.5">
      <c r="C39" s="3" t="s">
        <v>2</v>
      </c>
      <c r="D39" s="11"/>
      <c r="E39" s="11"/>
    </row>
    <row r="40" spans="3:6" ht="14.5" thickBot="1" x14ac:dyDescent="0.35">
      <c r="D40" s="9"/>
      <c r="E40" s="9"/>
    </row>
    <row r="41" spans="3:6" ht="14.5" thickBot="1" x14ac:dyDescent="0.35">
      <c r="C41" s="35" t="s">
        <v>12</v>
      </c>
      <c r="D41" s="36" t="s">
        <v>39</v>
      </c>
    </row>
    <row r="42" spans="3:6" x14ac:dyDescent="0.3">
      <c r="C42" s="5" t="s">
        <v>4</v>
      </c>
      <c r="D42" s="19">
        <v>100000</v>
      </c>
    </row>
    <row r="43" spans="3:6" x14ac:dyDescent="0.3">
      <c r="C43" s="5" t="s">
        <v>5</v>
      </c>
      <c r="D43" s="4">
        <v>100000</v>
      </c>
    </row>
    <row r="44" spans="3:6" x14ac:dyDescent="0.3">
      <c r="C44" s="5" t="s">
        <v>6</v>
      </c>
      <c r="D44" s="4">
        <v>30000</v>
      </c>
    </row>
    <row r="45" spans="3:6" x14ac:dyDescent="0.3">
      <c r="C45" s="5" t="s">
        <v>7</v>
      </c>
      <c r="D45" s="4"/>
    </row>
    <row r="46" spans="3:6" ht="14.5" thickBot="1" x14ac:dyDescent="0.35">
      <c r="C46" s="5" t="s">
        <v>8</v>
      </c>
      <c r="D46" s="4"/>
    </row>
    <row r="47" spans="3:6" ht="14.5" thickBot="1" x14ac:dyDescent="0.35">
      <c r="C47" s="15" t="s">
        <v>11</v>
      </c>
      <c r="D47" s="16"/>
    </row>
    <row r="48" spans="3:6" ht="14.5" thickBot="1" x14ac:dyDescent="0.35">
      <c r="D48" s="9"/>
    </row>
    <row r="49" spans="3:5" x14ac:dyDescent="0.3">
      <c r="C49" s="7" t="s">
        <v>12</v>
      </c>
      <c r="D49" s="22" t="s">
        <v>37</v>
      </c>
    </row>
    <row r="50" spans="3:5" x14ac:dyDescent="0.3">
      <c r="C50" s="5" t="s">
        <v>4</v>
      </c>
      <c r="D50" s="4">
        <v>309343</v>
      </c>
    </row>
    <row r="51" spans="3:5" x14ac:dyDescent="0.3">
      <c r="C51" s="5" t="s">
        <v>5</v>
      </c>
      <c r="D51" s="4">
        <v>3000</v>
      </c>
      <c r="E51" t="s">
        <v>92</v>
      </c>
    </row>
    <row r="52" spans="3:5" x14ac:dyDescent="0.3">
      <c r="C52" s="5" t="s">
        <v>6</v>
      </c>
      <c r="D52" s="4"/>
    </row>
    <row r="53" spans="3:5" x14ac:dyDescent="0.3">
      <c r="C53" s="5" t="s">
        <v>7</v>
      </c>
      <c r="D53" s="4"/>
    </row>
    <row r="54" spans="3:5" ht="14.5" thickBot="1" x14ac:dyDescent="0.35">
      <c r="C54" s="5" t="s">
        <v>8</v>
      </c>
      <c r="D54" s="4"/>
    </row>
    <row r="55" spans="3:5" ht="14.5" thickBot="1" x14ac:dyDescent="0.35">
      <c r="C55" s="15" t="s">
        <v>11</v>
      </c>
      <c r="D55" s="16"/>
    </row>
    <row r="56" spans="3:5" ht="14.5" thickBot="1" x14ac:dyDescent="0.35">
      <c r="D56" s="9"/>
    </row>
    <row r="57" spans="3:5" x14ac:dyDescent="0.3">
      <c r="C57" s="7" t="s">
        <v>12</v>
      </c>
      <c r="D57" s="22" t="s">
        <v>40</v>
      </c>
    </row>
    <row r="58" spans="3:5" x14ac:dyDescent="0.3">
      <c r="C58" s="5" t="s">
        <v>4</v>
      </c>
      <c r="D58" s="4"/>
    </row>
    <row r="59" spans="3:5" x14ac:dyDescent="0.3">
      <c r="C59" s="5" t="s">
        <v>5</v>
      </c>
      <c r="D59" s="4"/>
    </row>
    <row r="60" spans="3:5" ht="14.5" thickBot="1" x14ac:dyDescent="0.35">
      <c r="C60" s="5" t="s">
        <v>6</v>
      </c>
      <c r="D60" s="4"/>
    </row>
    <row r="61" spans="3:5" ht="14.5" thickBot="1" x14ac:dyDescent="0.35">
      <c r="C61" s="15" t="s">
        <v>11</v>
      </c>
      <c r="D61" s="16"/>
    </row>
    <row r="62" spans="3:5" ht="14.5" thickBot="1" x14ac:dyDescent="0.35">
      <c r="C62" s="18"/>
      <c r="D62" s="9"/>
    </row>
    <row r="63" spans="3:5" x14ac:dyDescent="0.3">
      <c r="C63" s="7" t="s">
        <v>12</v>
      </c>
      <c r="D63" s="22" t="s">
        <v>26</v>
      </c>
    </row>
    <row r="64" spans="3:5" x14ac:dyDescent="0.3">
      <c r="C64" s="5" t="s">
        <v>4</v>
      </c>
      <c r="D64" s="4">
        <v>11256</v>
      </c>
    </row>
    <row r="65" spans="3:4" x14ac:dyDescent="0.3">
      <c r="C65" s="5" t="s">
        <v>5</v>
      </c>
      <c r="D65" s="4">
        <v>92000</v>
      </c>
    </row>
    <row r="66" spans="3:4" x14ac:dyDescent="0.3">
      <c r="C66" s="5" t="s">
        <v>6</v>
      </c>
      <c r="D66" s="4">
        <v>72144</v>
      </c>
    </row>
    <row r="67" spans="3:4" x14ac:dyDescent="0.3">
      <c r="C67" s="5" t="s">
        <v>7</v>
      </c>
      <c r="D67" s="4">
        <v>210000</v>
      </c>
    </row>
    <row r="68" spans="3:4" x14ac:dyDescent="0.3">
      <c r="C68" s="5" t="s">
        <v>103</v>
      </c>
      <c r="D68" s="4">
        <v>58902</v>
      </c>
    </row>
    <row r="69" spans="3:4" x14ac:dyDescent="0.3">
      <c r="C69" s="5" t="s">
        <v>8</v>
      </c>
      <c r="D69" s="4">
        <v>80000</v>
      </c>
    </row>
    <row r="70" spans="3:4" ht="14.5" thickBot="1" x14ac:dyDescent="0.35">
      <c r="C70" s="5" t="s">
        <v>9</v>
      </c>
      <c r="D70" s="4">
        <v>15000</v>
      </c>
    </row>
    <row r="71" spans="3:4" ht="14.5" thickBot="1" x14ac:dyDescent="0.35">
      <c r="C71" s="15" t="s">
        <v>11</v>
      </c>
      <c r="D71" s="31"/>
    </row>
    <row r="72" spans="3:4" ht="14.5" thickBot="1" x14ac:dyDescent="0.35">
      <c r="D72" s="9"/>
    </row>
    <row r="73" spans="3:4" x14ac:dyDescent="0.3">
      <c r="C73" s="7" t="s">
        <v>12</v>
      </c>
      <c r="D73" s="22" t="s">
        <v>27</v>
      </c>
    </row>
    <row r="74" spans="3:4" x14ac:dyDescent="0.3">
      <c r="C74" s="5" t="s">
        <v>4</v>
      </c>
      <c r="D74" s="4">
        <v>1140</v>
      </c>
    </row>
    <row r="75" spans="3:4" x14ac:dyDescent="0.3">
      <c r="C75" s="5" t="s">
        <v>5</v>
      </c>
      <c r="D75" s="4">
        <v>693</v>
      </c>
    </row>
    <row r="76" spans="3:4" x14ac:dyDescent="0.3">
      <c r="C76" s="5" t="s">
        <v>6</v>
      </c>
      <c r="D76" s="4">
        <v>4437</v>
      </c>
    </row>
    <row r="77" spans="3:4" ht="14.5" thickBot="1" x14ac:dyDescent="0.35">
      <c r="C77" s="6" t="s">
        <v>7</v>
      </c>
      <c r="D77" s="23">
        <v>5269</v>
      </c>
    </row>
    <row r="78" spans="3:4" ht="14.5" thickBot="1" x14ac:dyDescent="0.35">
      <c r="C78" s="5" t="s">
        <v>8</v>
      </c>
      <c r="D78" s="31">
        <v>19236</v>
      </c>
    </row>
    <row r="79" spans="3:4" ht="14.5" thickBot="1" x14ac:dyDescent="0.35">
      <c r="C79" s="5" t="s">
        <v>9</v>
      </c>
      <c r="D79" s="31">
        <v>30000</v>
      </c>
    </row>
    <row r="80" spans="3:4" ht="14.5" thickBot="1" x14ac:dyDescent="0.35">
      <c r="C80" s="5" t="s">
        <v>10</v>
      </c>
      <c r="D80" s="31">
        <v>5542</v>
      </c>
    </row>
    <row r="81" spans="3:5" ht="14.5" thickBot="1" x14ac:dyDescent="0.35">
      <c r="C81" s="5" t="s">
        <v>66</v>
      </c>
      <c r="D81" s="31">
        <v>1792</v>
      </c>
    </row>
    <row r="82" spans="3:5" ht="14.5" thickBot="1" x14ac:dyDescent="0.35">
      <c r="C82" s="5" t="s">
        <v>67</v>
      </c>
      <c r="D82" s="31"/>
    </row>
    <row r="83" spans="3:5" ht="14.5" thickBot="1" x14ac:dyDescent="0.35">
      <c r="C83" s="15" t="s">
        <v>11</v>
      </c>
      <c r="D83" s="16"/>
    </row>
    <row r="84" spans="3:5" ht="14.5" thickBot="1" x14ac:dyDescent="0.35">
      <c r="C84" s="18"/>
      <c r="D84" s="9"/>
    </row>
    <row r="85" spans="3:5" x14ac:dyDescent="0.3">
      <c r="C85" s="7" t="s">
        <v>12</v>
      </c>
      <c r="D85" s="22" t="s">
        <v>42</v>
      </c>
    </row>
    <row r="86" spans="3:5" x14ac:dyDescent="0.3">
      <c r="C86" s="5" t="s">
        <v>4</v>
      </c>
      <c r="D86" s="4">
        <v>72000</v>
      </c>
    </row>
    <row r="87" spans="3:5" x14ac:dyDescent="0.3">
      <c r="C87" s="5" t="s">
        <v>5</v>
      </c>
      <c r="D87" s="4"/>
    </row>
    <row r="88" spans="3:5" x14ac:dyDescent="0.3">
      <c r="C88" s="5" t="s">
        <v>6</v>
      </c>
      <c r="D88" s="4"/>
    </row>
    <row r="89" spans="3:5" ht="14.5" thickBot="1" x14ac:dyDescent="0.35">
      <c r="C89" s="6" t="s">
        <v>7</v>
      </c>
      <c r="D89" s="23"/>
    </row>
    <row r="90" spans="3:5" ht="14.5" thickBot="1" x14ac:dyDescent="0.35">
      <c r="C90" s="15" t="s">
        <v>11</v>
      </c>
      <c r="D90" s="16"/>
    </row>
    <row r="91" spans="3:5" ht="14.5" thickBot="1" x14ac:dyDescent="0.35">
      <c r="D91" s="9"/>
      <c r="E91" s="9"/>
    </row>
    <row r="92" spans="3:5" x14ac:dyDescent="0.3">
      <c r="C92" s="7" t="s">
        <v>12</v>
      </c>
      <c r="D92" s="22" t="s">
        <v>28</v>
      </c>
    </row>
    <row r="93" spans="3:5" x14ac:dyDescent="0.3">
      <c r="C93" s="5" t="s">
        <v>4</v>
      </c>
      <c r="D93" s="4">
        <v>2784</v>
      </c>
    </row>
    <row r="94" spans="3:5" x14ac:dyDescent="0.3">
      <c r="C94" s="5" t="s">
        <v>5</v>
      </c>
      <c r="D94" s="4"/>
    </row>
    <row r="95" spans="3:5" x14ac:dyDescent="0.3">
      <c r="C95" s="5" t="s">
        <v>6</v>
      </c>
      <c r="D95" s="4"/>
    </row>
    <row r="96" spans="3:5" x14ac:dyDescent="0.3">
      <c r="C96" s="5" t="s">
        <v>7</v>
      </c>
      <c r="D96" s="10"/>
    </row>
    <row r="97" spans="3:4" x14ac:dyDescent="0.3">
      <c r="C97" s="5" t="s">
        <v>8</v>
      </c>
      <c r="D97" s="10"/>
    </row>
    <row r="98" spans="3:4" x14ac:dyDescent="0.3">
      <c r="C98" s="5" t="s">
        <v>9</v>
      </c>
      <c r="D98" s="10"/>
    </row>
    <row r="99" spans="3:4" ht="14.5" thickBot="1" x14ac:dyDescent="0.35">
      <c r="C99" s="5" t="s">
        <v>10</v>
      </c>
      <c r="D99" s="10"/>
    </row>
    <row r="100" spans="3:4" ht="14.5" thickBot="1" x14ac:dyDescent="0.35">
      <c r="C100" s="15" t="s">
        <v>11</v>
      </c>
      <c r="D100" s="16"/>
    </row>
    <row r="101" spans="3:4" ht="14.5" thickBot="1" x14ac:dyDescent="0.35">
      <c r="C101" s="18"/>
      <c r="D101" s="9"/>
    </row>
    <row r="102" spans="3:4" x14ac:dyDescent="0.3">
      <c r="C102" s="42" t="s">
        <v>24</v>
      </c>
      <c r="D102" s="20">
        <f>SUM(D42:D99)</f>
        <v>1224538</v>
      </c>
    </row>
    <row r="103" spans="3:4" ht="14.5" thickBot="1" x14ac:dyDescent="0.35">
      <c r="C103" s="43"/>
      <c r="D103" s="24"/>
    </row>
    <row r="104" spans="3:4" ht="14.5" thickBot="1" x14ac:dyDescent="0.35"/>
    <row r="105" spans="3:4" ht="14.5" thickBot="1" x14ac:dyDescent="0.35">
      <c r="C105" s="46" t="s">
        <v>29</v>
      </c>
      <c r="D105" s="47">
        <f>E21-D102</f>
        <v>733462</v>
      </c>
    </row>
    <row r="106" spans="3:4" ht="14.5" thickBot="1" x14ac:dyDescent="0.35">
      <c r="C106" s="53">
        <v>0.5</v>
      </c>
      <c r="D106" s="48">
        <f>D105*0.5</f>
        <v>366731</v>
      </c>
    </row>
    <row r="107" spans="3:4" ht="14.5" thickBot="1" x14ac:dyDescent="0.35">
      <c r="C107" s="54"/>
      <c r="D107" s="55"/>
    </row>
  </sheetData>
  <mergeCells count="2">
    <mergeCell ref="C4:E4"/>
    <mergeCell ref="D6:E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סיכום קבלת כסף</vt:lpstr>
      <vt:lpstr>KLA מגדל העמק</vt:lpstr>
      <vt:lpstr>ביליארד מודיעין</vt:lpstr>
      <vt:lpstr>ביליארד רעננה</vt:lpstr>
      <vt:lpstr>בנק לאומי קרית מוצקין</vt:lpstr>
      <vt:lpstr>עתידים</vt:lpstr>
      <vt:lpstr>עידן חדש</vt:lpstr>
      <vt:lpstr>צ'רי עפולה</vt:lpstr>
      <vt:lpstr>בנק לאומי ראשון לציון</vt:lpstr>
      <vt:lpstr>בנק לאומי קרית אתא שלב ב</vt:lpstr>
      <vt:lpstr>בנק לאומי קרית אתא</vt:lpstr>
      <vt:lpstr>משפחת דוד</vt:lpstr>
      <vt:lpstr>לוגסי</vt:lpstr>
      <vt:lpstr>יעל אלמוג זכאי</vt:lpstr>
      <vt:lpstr>אודיטוריום בית חולים כרמל</vt:lpstr>
      <vt:lpstr>מתם 6</vt:lpstr>
      <vt:lpstr>בית הלוי</vt:lpstr>
      <vt:lpstr>מנופי אבי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אוריאל</dc:creator>
  <cp:lastModifiedBy>אוריאל הלל</cp:lastModifiedBy>
  <cp:lastPrinted>2023-04-13T09:08:29Z</cp:lastPrinted>
  <dcterms:created xsi:type="dcterms:W3CDTF">2017-06-05T13:34:16Z</dcterms:created>
  <dcterms:modified xsi:type="dcterms:W3CDTF">2026-08-05T13:20:06Z</dcterms:modified>
</cp:coreProperties>
</file>